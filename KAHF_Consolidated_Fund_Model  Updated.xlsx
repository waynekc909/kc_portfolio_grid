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10" documentId="8_{9150A69C-E6E4-4446-B489-F85005C0890C}" xr6:coauthVersionLast="47" xr6:coauthVersionMax="47" xr10:uidLastSave="{B0A93141-2678-4EF8-9F46-F028E87982D7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2" l="1"/>
  <c r="C134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L5" i="2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<sst xmlns="http://schemas.openxmlformats.org/spreadsheetml/2006/main" count="754" uniqueCount="466">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</sst>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31" fillId="0" borderId="0" xfId="0" applyFont="1"/>
    <xf numFmtId="0" fontId="39" fillId="12" borderId="0" xfId="0" applyFont="1" applyFill="1" applyAlignment="1">
      <alignment horizontal="center"/>
    </xf>
    <xf numFmtId="0" fontId="0" fillId="6" borderId="0" xfId="0" applyFill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63700000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0.83674999953741713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K5" sqref="K5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63700000</v>
      </c>
      <c r="G5" s="142">
        <f>MAX(F5+C5,0)</f>
        <v>0</v>
      </c>
      <c r="H5" s="15"/>
      <c r="I5" s="15"/>
      <c r="J5" s="6">
        <v>40105521</v>
      </c>
      <c r="K5" s="8">
        <f>D5</f>
        <v>37033391.079999998</v>
      </c>
      <c r="L5" s="10">
        <f t="shared" ref="L5:L19" si="1">IFERROR(K5/-C5,"n/a")</f>
        <v>0.38733158964663228</v>
      </c>
      <c r="M5" s="16">
        <v>5.3999999999999999E-2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2">MAX(F6+C6,0)</f>
        <v>13449000</v>
      </c>
      <c r="H6" s="15"/>
      <c r="I6" s="15"/>
      <c r="J6" s="6">
        <v>12958884</v>
      </c>
      <c r="K6" s="8">
        <f t="shared" ref="K5:K18" si="3">D6+J6</f>
        <v>36958884</v>
      </c>
      <c r="L6" s="10">
        <f t="shared" si="1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2"/>
        <v>0</v>
      </c>
      <c r="H7" s="15"/>
      <c r="I7" s="15"/>
      <c r="J7" s="6">
        <v>35672548</v>
      </c>
      <c r="K7" s="8">
        <f t="shared" si="3"/>
        <v>35672548</v>
      </c>
      <c r="L7" s="10">
        <f t="shared" si="1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2"/>
        <v>0</v>
      </c>
      <c r="H8" s="15"/>
      <c r="I8" s="15"/>
      <c r="J8" s="6">
        <v>4911828</v>
      </c>
      <c r="K8" s="8">
        <f t="shared" si="3"/>
        <v>4911828</v>
      </c>
      <c r="L8" s="10">
        <f t="shared" si="1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2"/>
        <v>0</v>
      </c>
      <c r="H9" s="15"/>
      <c r="I9" s="15"/>
      <c r="J9" s="6">
        <v>1037365.93</v>
      </c>
      <c r="K9" s="8">
        <f t="shared" si="3"/>
        <v>1037365.93</v>
      </c>
      <c r="L9" s="10">
        <f t="shared" si="1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2"/>
        <v>13000000</v>
      </c>
      <c r="H10" s="6">
        <v>31277883.809999999</v>
      </c>
      <c r="I10" s="6">
        <v>42400000</v>
      </c>
      <c r="J10" s="6">
        <v>12958884</v>
      </c>
      <c r="K10" s="8">
        <f t="shared" si="3"/>
        <v>12958884</v>
      </c>
      <c r="L10" s="10">
        <f t="shared" si="1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2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3"/>
        <v>13022185.550000001</v>
      </c>
      <c r="L11" s="10">
        <f t="shared" si="1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2"/>
        <v>13712884.35</v>
      </c>
      <c r="H12" s="15"/>
      <c r="I12" s="15"/>
      <c r="J12" s="6">
        <v>4827160</v>
      </c>
      <c r="K12" s="8">
        <f t="shared" si="3"/>
        <v>4827160</v>
      </c>
      <c r="L12" s="10">
        <f t="shared" si="1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2"/>
        <v>610888.86000000034</v>
      </c>
      <c r="H13" s="6">
        <v>26748597</v>
      </c>
      <c r="I13" s="6">
        <v>31785000</v>
      </c>
      <c r="J13" s="6">
        <v>4822787.04</v>
      </c>
      <c r="K13" s="8">
        <f t="shared" si="3"/>
        <v>4822787.04</v>
      </c>
      <c r="L13" s="10">
        <f t="shared" si="1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2"/>
        <v>6533279.54</v>
      </c>
      <c r="H14" s="6"/>
      <c r="I14" s="6"/>
      <c r="J14" s="6">
        <v>5249926.24</v>
      </c>
      <c r="K14" s="8">
        <f t="shared" si="3"/>
        <v>5249926.24</v>
      </c>
      <c r="L14" s="10">
        <f t="shared" si="1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2"/>
        <v>0</v>
      </c>
      <c r="H15" s="15"/>
      <c r="I15" s="15"/>
      <c r="J15" s="6">
        <v>1197995</v>
      </c>
      <c r="K15" s="8">
        <f t="shared" si="3"/>
        <v>43705262.899999999</v>
      </c>
      <c r="L15" s="10">
        <f t="shared" si="1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2"/>
        <v>0</v>
      </c>
      <c r="H16" s="15"/>
      <c r="I16" s="15"/>
      <c r="J16" s="6">
        <v>1197968.19</v>
      </c>
      <c r="K16" s="8">
        <f t="shared" si="3"/>
        <v>22504043.690000001</v>
      </c>
      <c r="L16" s="10">
        <f t="shared" si="1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2"/>
        <v>0</v>
      </c>
      <c r="H17" s="15"/>
      <c r="I17" s="15"/>
      <c r="J17" s="6">
        <v>0</v>
      </c>
      <c r="K17" s="8">
        <f t="shared" si="3"/>
        <v>7353424.4900000002</v>
      </c>
      <c r="L17" s="10">
        <f t="shared" si="1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2"/>
        <v>0</v>
      </c>
      <c r="H18" s="15"/>
      <c r="I18" s="15"/>
      <c r="J18" s="6">
        <v>0</v>
      </c>
      <c r="K18" s="8">
        <f t="shared" si="3"/>
        <v>75599843.120000005</v>
      </c>
      <c r="L18" s="10">
        <f t="shared" si="1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381500000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305657534.04000002</v>
      </c>
      <c r="L19" s="22">
        <f t="shared" si="1"/>
        <v>0.83674999953741713</v>
      </c>
      <c r="M19" s="72">
        <f>(M5+M18+M17+M16+M15+M14+M13+M11+M10+M9-M8+M6+M7+M20)/13</f>
        <v>0.18673846153846155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173699997.91000003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1" t="s">
        <v>321</v>
      </c>
      <c r="P30" s="17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2" t="s">
        <v>456</v>
      </c>
      <c r="N3" s="172"/>
      <c r="O3" s="172"/>
      <c r="P3" s="172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381500000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3"/>
      <c r="D4" s="173"/>
      <c r="E4" s="173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2026-09-18T09:53:33Z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