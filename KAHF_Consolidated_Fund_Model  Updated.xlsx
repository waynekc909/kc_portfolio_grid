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konigsteincapital-my.sharepoint.com/personal/wayne_konigsteincapital_com/Documents/Project Images/"/>
    </mc:Choice>
  </mc:AlternateContent>
  <xr:revisionPtr revIDLastSave="68" documentId="8_{9150A69C-E6E4-4446-B489-F85005C0890C}" xr6:coauthVersionLast="47" xr6:coauthVersionMax="47" xr10:uidLastSave="{15DEE9B1-92B5-4CDE-ABB4-B3012E5DFAC9}"/>
  <bookViews>
    <workbookView xWindow="-28920" yWindow="-4200" windowWidth="29040" windowHeight="15720" tabRatio="500" activeTab="1" xr2:uid="{00000000-000D-0000-FFFF-FFFF00000000}"/>
  </bookViews>
  <sheets>
    <sheet name="1. Dashboard &amp; Jun-26" sheetId="1" r:id="rId1"/>
    <sheet name="2. Project Performance" sheetId="2" r:id="rId2"/>
    <sheet name="3. Delivery Outputs" sheetId="3" r:id="rId3"/>
    <sheet name="4. Monthly Cash Flows" sheetId="4" r:id="rId4"/>
    <sheet name="Ledger" sheetId="5" r:id="rId5"/>
    <sheet name="Notes &amp; Reconciliations" sheetId="6" r:id="rId6"/>
    <sheet name="5. Cash IRR &amp; Residual" sheetId="7" r:id="rId7"/>
    <sheet name="Statement_of_Cash_F_-_July_2026" sheetId="8" r:id="rId8"/>
    <sheet name="Profit_and_Loss_Jul_2026" sheetId="9" r:id="rId9"/>
    <sheet name="Balance_Sheet_July_2026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2" l="1"/>
  <c r="C5" i="2"/>
  <c r="B36" i="3"/>
  <c r="B23" i="1"/>
  <c r="B26" i="1"/>
  <c r="B27" i="1"/>
  <c r="I19" i="2"/>
  <c r="D34" i="10"/>
  <c r="C34" i="10"/>
  <c r="D30" i="10"/>
  <c r="C30" i="10"/>
  <c r="D22" i="10"/>
  <c r="C20" i="10"/>
  <c r="C22" i="10" s="1"/>
  <c r="D17" i="10"/>
  <c r="D23" i="10" s="1"/>
  <c r="D36" i="10" s="1"/>
  <c r="C12" i="10"/>
  <c r="C11" i="10"/>
  <c r="C9" i="10"/>
  <c r="C17" i="10" s="1"/>
  <c r="C23" i="10" s="1"/>
  <c r="C36" i="10" s="1"/>
  <c r="B37" i="9"/>
  <c r="C32" i="9"/>
  <c r="B32" i="9"/>
  <c r="C22" i="9"/>
  <c r="B22" i="9"/>
  <c r="C15" i="9"/>
  <c r="C34" i="9" s="1"/>
  <c r="C39" i="9" s="1"/>
  <c r="B8" i="9"/>
  <c r="B15" i="9" s="1"/>
  <c r="B34" i="9" s="1"/>
  <c r="B39" i="9" s="1"/>
  <c r="C33" i="8"/>
  <c r="C26" i="8"/>
  <c r="B26" i="8"/>
  <c r="C21" i="8"/>
  <c r="B21" i="8"/>
  <c r="C10" i="8"/>
  <c r="C28" i="8" s="1"/>
  <c r="B10" i="8"/>
  <c r="B28" i="8" s="1"/>
  <c r="B32" i="8" s="1"/>
  <c r="B33" i="8" s="1"/>
  <c r="E110" i="7"/>
  <c r="L19" i="2"/>
  <c r="B119" i="7"/>
  <c r="B118" i="7" l="1"/>
  <c r="B121" i="7"/>
  <c r="B120" i="7"/>
  <c r="A111" i="7"/>
  <c r="E111" i="7"/>
  <c r="D110" i="7"/>
  <c r="D111" i="7"/>
  <c r="C112" i="7"/>
  <c r="C109" i="7" l="1"/>
  <c r="B109" i="7"/>
  <c r="D109" i="7" s="1"/>
  <c r="E109" i="7" s="1"/>
  <c r="A109" i="7"/>
  <c r="C108" i="7"/>
  <c r="B108" i="7"/>
  <c r="D108" i="7" s="1"/>
  <c r="E108" i="7" s="1"/>
  <c r="A108" i="7"/>
  <c r="C107" i="7"/>
  <c r="B107" i="7"/>
  <c r="D107" i="7" s="1"/>
  <c r="E107" i="7" s="1"/>
  <c r="A107" i="7"/>
  <c r="C106" i="7"/>
  <c r="B106" i="7"/>
  <c r="D106" i="7" s="1"/>
  <c r="E106" i="7" s="1"/>
  <c r="A106" i="7"/>
  <c r="C105" i="7"/>
  <c r="B105" i="7"/>
  <c r="D105" i="7" s="1"/>
  <c r="E105" i="7" s="1"/>
  <c r="A105" i="7"/>
  <c r="C104" i="7"/>
  <c r="B104" i="7"/>
  <c r="D104" i="7" s="1"/>
  <c r="E104" i="7" s="1"/>
  <c r="A104" i="7"/>
  <c r="C103" i="7"/>
  <c r="B103" i="7"/>
  <c r="D103" i="7" s="1"/>
  <c r="E103" i="7" s="1"/>
  <c r="A103" i="7"/>
  <c r="C102" i="7"/>
  <c r="B102" i="7"/>
  <c r="D102" i="7" s="1"/>
  <c r="E102" i="7" s="1"/>
  <c r="A102" i="7"/>
  <c r="C101" i="7"/>
  <c r="B101" i="7"/>
  <c r="D101" i="7" s="1"/>
  <c r="E101" i="7" s="1"/>
  <c r="A101" i="7"/>
  <c r="C100" i="7"/>
  <c r="B100" i="7"/>
  <c r="D100" i="7" s="1"/>
  <c r="E100" i="7" s="1"/>
  <c r="A100" i="7"/>
  <c r="C99" i="7"/>
  <c r="B99" i="7"/>
  <c r="D99" i="7" s="1"/>
  <c r="E99" i="7" s="1"/>
  <c r="A99" i="7"/>
  <c r="C98" i="7"/>
  <c r="B98" i="7"/>
  <c r="D98" i="7" s="1"/>
  <c r="E98" i="7" s="1"/>
  <c r="A98" i="7"/>
  <c r="C97" i="7"/>
  <c r="B97" i="7"/>
  <c r="D97" i="7" s="1"/>
  <c r="E97" i="7" s="1"/>
  <c r="A97" i="7"/>
  <c r="C96" i="7"/>
  <c r="B96" i="7"/>
  <c r="D96" i="7" s="1"/>
  <c r="E96" i="7" s="1"/>
  <c r="A96" i="7"/>
  <c r="C95" i="7"/>
  <c r="B95" i="7"/>
  <c r="D95" i="7" s="1"/>
  <c r="E95" i="7" s="1"/>
  <c r="A95" i="7"/>
  <c r="C94" i="7"/>
  <c r="B94" i="7"/>
  <c r="D94" i="7" s="1"/>
  <c r="E94" i="7" s="1"/>
  <c r="A94" i="7"/>
  <c r="C93" i="7"/>
  <c r="B93" i="7"/>
  <c r="D93" i="7" s="1"/>
  <c r="E93" i="7" s="1"/>
  <c r="A93" i="7"/>
  <c r="C92" i="7"/>
  <c r="B92" i="7"/>
  <c r="D92" i="7" s="1"/>
  <c r="E92" i="7" s="1"/>
  <c r="A92" i="7"/>
  <c r="C91" i="7"/>
  <c r="B91" i="7"/>
  <c r="D91" i="7" s="1"/>
  <c r="E91" i="7" s="1"/>
  <c r="A91" i="7"/>
  <c r="C90" i="7"/>
  <c r="B90" i="7"/>
  <c r="D90" i="7" s="1"/>
  <c r="E90" i="7" s="1"/>
  <c r="A90" i="7"/>
  <c r="C89" i="7"/>
  <c r="B89" i="7"/>
  <c r="D89" i="7" s="1"/>
  <c r="E89" i="7" s="1"/>
  <c r="A89" i="7"/>
  <c r="C88" i="7"/>
  <c r="B88" i="7"/>
  <c r="D88" i="7" s="1"/>
  <c r="E88" i="7" s="1"/>
  <c r="A88" i="7"/>
  <c r="C87" i="7"/>
  <c r="B87" i="7"/>
  <c r="D87" i="7" s="1"/>
  <c r="E87" i="7" s="1"/>
  <c r="A87" i="7"/>
  <c r="C86" i="7"/>
  <c r="B86" i="7"/>
  <c r="D86" i="7" s="1"/>
  <c r="E86" i="7" s="1"/>
  <c r="A86" i="7"/>
  <c r="C85" i="7"/>
  <c r="B85" i="7"/>
  <c r="D85" i="7" s="1"/>
  <c r="E85" i="7" s="1"/>
  <c r="A85" i="7"/>
  <c r="C84" i="7"/>
  <c r="B84" i="7"/>
  <c r="D84" i="7" s="1"/>
  <c r="E84" i="7" s="1"/>
  <c r="A84" i="7"/>
  <c r="C83" i="7"/>
  <c r="B83" i="7"/>
  <c r="D83" i="7" s="1"/>
  <c r="E83" i="7" s="1"/>
  <c r="A83" i="7"/>
  <c r="C82" i="7"/>
  <c r="B82" i="7"/>
  <c r="D82" i="7" s="1"/>
  <c r="E82" i="7" s="1"/>
  <c r="A82" i="7"/>
  <c r="C81" i="7"/>
  <c r="B81" i="7"/>
  <c r="D81" i="7" s="1"/>
  <c r="E81" i="7" s="1"/>
  <c r="A81" i="7"/>
  <c r="C80" i="7"/>
  <c r="B80" i="7"/>
  <c r="D80" i="7" s="1"/>
  <c r="E80" i="7" s="1"/>
  <c r="A80" i="7"/>
  <c r="C79" i="7"/>
  <c r="B79" i="7"/>
  <c r="D79" i="7" s="1"/>
  <c r="E79" i="7" s="1"/>
  <c r="A79" i="7"/>
  <c r="C78" i="7"/>
  <c r="B78" i="7"/>
  <c r="D78" i="7" s="1"/>
  <c r="E78" i="7" s="1"/>
  <c r="A78" i="7"/>
  <c r="C77" i="7"/>
  <c r="B77" i="7"/>
  <c r="D77" i="7" s="1"/>
  <c r="E77" i="7" s="1"/>
  <c r="A77" i="7"/>
  <c r="C76" i="7"/>
  <c r="B76" i="7"/>
  <c r="D76" i="7" s="1"/>
  <c r="E76" i="7" s="1"/>
  <c r="A76" i="7"/>
  <c r="C75" i="7"/>
  <c r="B75" i="7"/>
  <c r="D75" i="7" s="1"/>
  <c r="E75" i="7" s="1"/>
  <c r="A75" i="7"/>
  <c r="C74" i="7"/>
  <c r="B74" i="7"/>
  <c r="D74" i="7" s="1"/>
  <c r="E74" i="7" s="1"/>
  <c r="A74" i="7"/>
  <c r="C73" i="7"/>
  <c r="B73" i="7"/>
  <c r="D73" i="7" s="1"/>
  <c r="E73" i="7" s="1"/>
  <c r="A73" i="7"/>
  <c r="C72" i="7"/>
  <c r="B72" i="7"/>
  <c r="D72" i="7" s="1"/>
  <c r="E72" i="7" s="1"/>
  <c r="A72" i="7"/>
  <c r="C71" i="7"/>
  <c r="B71" i="7"/>
  <c r="D71" i="7" s="1"/>
  <c r="E71" i="7" s="1"/>
  <c r="A71" i="7"/>
  <c r="C70" i="7"/>
  <c r="B70" i="7"/>
  <c r="D70" i="7" s="1"/>
  <c r="E70" i="7" s="1"/>
  <c r="A70" i="7"/>
  <c r="C69" i="7"/>
  <c r="B69" i="7"/>
  <c r="D69" i="7" s="1"/>
  <c r="E69" i="7" s="1"/>
  <c r="A69" i="7"/>
  <c r="C68" i="7"/>
  <c r="B68" i="7"/>
  <c r="D68" i="7" s="1"/>
  <c r="E68" i="7" s="1"/>
  <c r="A68" i="7"/>
  <c r="C67" i="7"/>
  <c r="B67" i="7"/>
  <c r="D67" i="7" s="1"/>
  <c r="E67" i="7" s="1"/>
  <c r="A67" i="7"/>
  <c r="C66" i="7"/>
  <c r="B66" i="7"/>
  <c r="D66" i="7" s="1"/>
  <c r="E66" i="7" s="1"/>
  <c r="A66" i="7"/>
  <c r="C65" i="7"/>
  <c r="B65" i="7"/>
  <c r="D65" i="7" s="1"/>
  <c r="E65" i="7" s="1"/>
  <c r="A65" i="7"/>
  <c r="C64" i="7"/>
  <c r="B64" i="7"/>
  <c r="D64" i="7" s="1"/>
  <c r="E64" i="7" s="1"/>
  <c r="A64" i="7"/>
  <c r="C63" i="7"/>
  <c r="B63" i="7"/>
  <c r="D63" i="7" s="1"/>
  <c r="E63" i="7" s="1"/>
  <c r="A63" i="7"/>
  <c r="C62" i="7"/>
  <c r="B62" i="7"/>
  <c r="D62" i="7" s="1"/>
  <c r="E62" i="7" s="1"/>
  <c r="A62" i="7"/>
  <c r="C61" i="7"/>
  <c r="B61" i="7"/>
  <c r="D61" i="7" s="1"/>
  <c r="E61" i="7" s="1"/>
  <c r="A61" i="7"/>
  <c r="C60" i="7"/>
  <c r="B60" i="7"/>
  <c r="D60" i="7" s="1"/>
  <c r="E60" i="7" s="1"/>
  <c r="A60" i="7"/>
  <c r="C59" i="7"/>
  <c r="B59" i="7"/>
  <c r="D59" i="7" s="1"/>
  <c r="E59" i="7" s="1"/>
  <c r="A59" i="7"/>
  <c r="C58" i="7"/>
  <c r="B58" i="7"/>
  <c r="D58" i="7" s="1"/>
  <c r="E58" i="7" s="1"/>
  <c r="A58" i="7"/>
  <c r="C57" i="7"/>
  <c r="B57" i="7"/>
  <c r="D57" i="7" s="1"/>
  <c r="E57" i="7" s="1"/>
  <c r="A57" i="7"/>
  <c r="C56" i="7"/>
  <c r="B56" i="7"/>
  <c r="D56" i="7" s="1"/>
  <c r="E56" i="7" s="1"/>
  <c r="A56" i="7"/>
  <c r="C55" i="7"/>
  <c r="B55" i="7"/>
  <c r="D55" i="7" s="1"/>
  <c r="E55" i="7" s="1"/>
  <c r="A55" i="7"/>
  <c r="C54" i="7"/>
  <c r="B54" i="7"/>
  <c r="D54" i="7" s="1"/>
  <c r="E54" i="7" s="1"/>
  <c r="A54" i="7"/>
  <c r="C53" i="7"/>
  <c r="B53" i="7"/>
  <c r="D53" i="7" s="1"/>
  <c r="E53" i="7" s="1"/>
  <c r="A53" i="7"/>
  <c r="C52" i="7"/>
  <c r="B52" i="7"/>
  <c r="D52" i="7" s="1"/>
  <c r="E52" i="7" s="1"/>
  <c r="A52" i="7"/>
  <c r="C51" i="7"/>
  <c r="B51" i="7"/>
  <c r="D51" i="7" s="1"/>
  <c r="E51" i="7" s="1"/>
  <c r="A51" i="7"/>
  <c r="C50" i="7"/>
  <c r="B50" i="7"/>
  <c r="D50" i="7" s="1"/>
  <c r="E50" i="7" s="1"/>
  <c r="A50" i="7"/>
  <c r="C49" i="7"/>
  <c r="B49" i="7"/>
  <c r="D49" i="7" s="1"/>
  <c r="E49" i="7" s="1"/>
  <c r="A49" i="7"/>
  <c r="C48" i="7"/>
  <c r="B48" i="7"/>
  <c r="D48" i="7" s="1"/>
  <c r="E48" i="7" s="1"/>
  <c r="A48" i="7"/>
  <c r="C47" i="7"/>
  <c r="B47" i="7"/>
  <c r="D47" i="7" s="1"/>
  <c r="E47" i="7" s="1"/>
  <c r="A47" i="7"/>
  <c r="C46" i="7"/>
  <c r="B46" i="7"/>
  <c r="D46" i="7" s="1"/>
  <c r="E46" i="7" s="1"/>
  <c r="A46" i="7"/>
  <c r="C45" i="7"/>
  <c r="B45" i="7"/>
  <c r="D45" i="7" s="1"/>
  <c r="E45" i="7" s="1"/>
  <c r="A45" i="7"/>
  <c r="C44" i="7"/>
  <c r="B44" i="7"/>
  <c r="D44" i="7" s="1"/>
  <c r="E44" i="7" s="1"/>
  <c r="A44" i="7"/>
  <c r="C43" i="7"/>
  <c r="B43" i="7"/>
  <c r="D43" i="7" s="1"/>
  <c r="E43" i="7" s="1"/>
  <c r="A43" i="7"/>
  <c r="C42" i="7"/>
  <c r="B42" i="7"/>
  <c r="D42" i="7" s="1"/>
  <c r="E42" i="7" s="1"/>
  <c r="A42" i="7"/>
  <c r="C41" i="7"/>
  <c r="B41" i="7"/>
  <c r="D41" i="7" s="1"/>
  <c r="E41" i="7" s="1"/>
  <c r="A41" i="7"/>
  <c r="C40" i="7"/>
  <c r="B40" i="7"/>
  <c r="D40" i="7" s="1"/>
  <c r="E40" i="7" s="1"/>
  <c r="A40" i="7"/>
  <c r="C39" i="7"/>
  <c r="B39" i="7"/>
  <c r="D39" i="7" s="1"/>
  <c r="E39" i="7" s="1"/>
  <c r="A39" i="7"/>
  <c r="C38" i="7"/>
  <c r="B38" i="7"/>
  <c r="D38" i="7" s="1"/>
  <c r="E38" i="7" s="1"/>
  <c r="A38" i="7"/>
  <c r="C37" i="7"/>
  <c r="B37" i="7"/>
  <c r="D37" i="7" s="1"/>
  <c r="E37" i="7" s="1"/>
  <c r="A37" i="7"/>
  <c r="C36" i="7"/>
  <c r="B36" i="7"/>
  <c r="D36" i="7" s="1"/>
  <c r="E36" i="7" s="1"/>
  <c r="A36" i="7"/>
  <c r="C35" i="7"/>
  <c r="B35" i="7"/>
  <c r="D35" i="7" s="1"/>
  <c r="E35" i="7" s="1"/>
  <c r="A35" i="7"/>
  <c r="C34" i="7"/>
  <c r="B34" i="7"/>
  <c r="D34" i="7" s="1"/>
  <c r="E34" i="7" s="1"/>
  <c r="A34" i="7"/>
  <c r="C33" i="7"/>
  <c r="B33" i="7"/>
  <c r="D33" i="7" s="1"/>
  <c r="E33" i="7" s="1"/>
  <c r="A33" i="7"/>
  <c r="C32" i="7"/>
  <c r="B32" i="7"/>
  <c r="D32" i="7" s="1"/>
  <c r="E32" i="7" s="1"/>
  <c r="A32" i="7"/>
  <c r="C31" i="7"/>
  <c r="B31" i="7"/>
  <c r="D31" i="7" s="1"/>
  <c r="E31" i="7" s="1"/>
  <c r="A31" i="7"/>
  <c r="C30" i="7"/>
  <c r="B30" i="7"/>
  <c r="D30" i="7" s="1"/>
  <c r="E30" i="7" s="1"/>
  <c r="A30" i="7"/>
  <c r="C29" i="7"/>
  <c r="B29" i="7"/>
  <c r="D29" i="7" s="1"/>
  <c r="E29" i="7" s="1"/>
  <c r="A29" i="7"/>
  <c r="C28" i="7"/>
  <c r="B28" i="7"/>
  <c r="D28" i="7" s="1"/>
  <c r="E28" i="7" s="1"/>
  <c r="A28" i="7"/>
  <c r="C27" i="7"/>
  <c r="B27" i="7"/>
  <c r="D27" i="7" s="1"/>
  <c r="E27" i="7" s="1"/>
  <c r="A27" i="7"/>
  <c r="C26" i="7"/>
  <c r="B26" i="7"/>
  <c r="D26" i="7" s="1"/>
  <c r="E26" i="7" s="1"/>
  <c r="A26" i="7"/>
  <c r="C25" i="7"/>
  <c r="B25" i="7"/>
  <c r="D25" i="7" s="1"/>
  <c r="E25" i="7" s="1"/>
  <c r="A25" i="7"/>
  <c r="C24" i="7"/>
  <c r="B24" i="7"/>
  <c r="D24" i="7" s="1"/>
  <c r="E24" i="7" s="1"/>
  <c r="A24" i="7"/>
  <c r="C23" i="7"/>
  <c r="B23" i="7"/>
  <c r="D23" i="7" s="1"/>
  <c r="E23" i="7" s="1"/>
  <c r="A23" i="7"/>
  <c r="C22" i="7"/>
  <c r="B22" i="7"/>
  <c r="D22" i="7" s="1"/>
  <c r="E22" i="7" s="1"/>
  <c r="A22" i="7"/>
  <c r="C21" i="7"/>
  <c r="B21" i="7"/>
  <c r="D21" i="7" s="1"/>
  <c r="E21" i="7" s="1"/>
  <c r="A21" i="7"/>
  <c r="C20" i="7"/>
  <c r="B20" i="7"/>
  <c r="D20" i="7" s="1"/>
  <c r="E20" i="7" s="1"/>
  <c r="A20" i="7"/>
  <c r="C19" i="7"/>
  <c r="B19" i="7"/>
  <c r="D19" i="7" s="1"/>
  <c r="E19" i="7" s="1"/>
  <c r="A19" i="7"/>
  <c r="C18" i="7"/>
  <c r="B18" i="7"/>
  <c r="D18" i="7" s="1"/>
  <c r="E18" i="7" s="1"/>
  <c r="A18" i="7"/>
  <c r="C17" i="7"/>
  <c r="B17" i="7"/>
  <c r="D17" i="7" s="1"/>
  <c r="E17" i="7" s="1"/>
  <c r="A17" i="7"/>
  <c r="C16" i="7"/>
  <c r="B16" i="7"/>
  <c r="D16" i="7" s="1"/>
  <c r="E16" i="7" s="1"/>
  <c r="A16" i="7"/>
  <c r="C15" i="7"/>
  <c r="B15" i="7"/>
  <c r="D15" i="7" s="1"/>
  <c r="E15" i="7" s="1"/>
  <c r="A15" i="7"/>
  <c r="C14" i="7"/>
  <c r="B14" i="7"/>
  <c r="D14" i="7" s="1"/>
  <c r="E14" i="7" s="1"/>
  <c r="A14" i="7"/>
  <c r="C13" i="7"/>
  <c r="B13" i="7"/>
  <c r="D13" i="7" s="1"/>
  <c r="E13" i="7" s="1"/>
  <c r="A13" i="7"/>
  <c r="C12" i="7"/>
  <c r="B12" i="7"/>
  <c r="D12" i="7" s="1"/>
  <c r="E12" i="7" s="1"/>
  <c r="A12" i="7"/>
  <c r="C11" i="7"/>
  <c r="B11" i="7"/>
  <c r="D11" i="7" s="1"/>
  <c r="E11" i="7" s="1"/>
  <c r="A11" i="7"/>
  <c r="C10" i="7"/>
  <c r="B10" i="7"/>
  <c r="D10" i="7" s="1"/>
  <c r="E10" i="7" s="1"/>
  <c r="A10" i="7"/>
  <c r="C9" i="7"/>
  <c r="B9" i="7"/>
  <c r="D9" i="7" s="1"/>
  <c r="E9" i="7" s="1"/>
  <c r="A9" i="7"/>
  <c r="C8" i="7"/>
  <c r="B8" i="7"/>
  <c r="D8" i="7" s="1"/>
  <c r="E8" i="7" s="1"/>
  <c r="A8" i="7"/>
  <c r="C7" i="7"/>
  <c r="B7" i="7"/>
  <c r="D7" i="7" s="1"/>
  <c r="E7" i="7" s="1"/>
  <c r="A7" i="7"/>
  <c r="C6" i="7"/>
  <c r="B6" i="7"/>
  <c r="D6" i="7" s="1"/>
  <c r="E6" i="7" s="1"/>
  <c r="A6" i="7"/>
  <c r="C116" i="7" l="1"/>
  <c r="C115" i="7"/>
  <c r="C110" i="5" l="1"/>
  <c r="F73" i="5"/>
  <c r="E73" i="5"/>
  <c r="D73" i="5"/>
  <c r="B37" i="3"/>
  <c r="B20" i="3"/>
  <c r="E20" i="3"/>
  <c r="D20" i="3"/>
  <c r="G20" i="3"/>
  <c r="F108" i="5"/>
  <c r="E108" i="5"/>
  <c r="D108" i="5"/>
  <c r="G27" i="3" l="1"/>
  <c r="G26" i="3"/>
  <c r="G25" i="3"/>
  <c r="G24" i="3"/>
  <c r="G23" i="3"/>
  <c r="G22" i="3"/>
  <c r="F107" i="5" l="1"/>
  <c r="E107" i="5"/>
  <c r="D107" i="5"/>
  <c r="F106" i="5"/>
  <c r="E106" i="5"/>
  <c r="D106" i="5"/>
  <c r="F105" i="5"/>
  <c r="E105" i="5"/>
  <c r="B145" i="1" s="1"/>
  <c r="D105" i="5"/>
  <c r="F104" i="5"/>
  <c r="E104" i="5"/>
  <c r="D104" i="5"/>
  <c r="F103" i="5"/>
  <c r="E103" i="5"/>
  <c r="D103" i="5"/>
  <c r="F102" i="5"/>
  <c r="E102" i="5"/>
  <c r="D102" i="5"/>
  <c r="F101" i="5"/>
  <c r="E101" i="5"/>
  <c r="D101" i="5"/>
  <c r="F100" i="5"/>
  <c r="E100" i="5"/>
  <c r="D100" i="5"/>
  <c r="F99" i="5"/>
  <c r="E99" i="5"/>
  <c r="D99" i="5"/>
  <c r="F98" i="5"/>
  <c r="E98" i="5"/>
  <c r="D98" i="5"/>
  <c r="F97" i="5"/>
  <c r="E97" i="5"/>
  <c r="D97" i="5"/>
  <c r="F96" i="5"/>
  <c r="E96" i="5"/>
  <c r="D96" i="5"/>
  <c r="F95" i="5"/>
  <c r="E95" i="5"/>
  <c r="D95" i="5"/>
  <c r="F94" i="5"/>
  <c r="E94" i="5"/>
  <c r="D94" i="5"/>
  <c r="F93" i="5"/>
  <c r="E93" i="5"/>
  <c r="D93" i="5"/>
  <c r="F92" i="5"/>
  <c r="E92" i="5"/>
  <c r="D92" i="5"/>
  <c r="F91" i="5"/>
  <c r="E91" i="5"/>
  <c r="D91" i="5"/>
  <c r="F90" i="5"/>
  <c r="E90" i="5"/>
  <c r="D90" i="5"/>
  <c r="F89" i="5"/>
  <c r="E89" i="5"/>
  <c r="D89" i="5"/>
  <c r="F88" i="5"/>
  <c r="E88" i="5"/>
  <c r="D88" i="5"/>
  <c r="F87" i="5"/>
  <c r="E87" i="5"/>
  <c r="D87" i="5"/>
  <c r="F86" i="5"/>
  <c r="E86" i="5"/>
  <c r="D86" i="5"/>
  <c r="F85" i="5"/>
  <c r="E85" i="5"/>
  <c r="D85" i="5"/>
  <c r="F84" i="5"/>
  <c r="E84" i="5"/>
  <c r="D84" i="5"/>
  <c r="F83" i="5"/>
  <c r="E83" i="5"/>
  <c r="D83" i="5"/>
  <c r="F82" i="5"/>
  <c r="E82" i="5"/>
  <c r="D82" i="5"/>
  <c r="F81" i="5"/>
  <c r="E81" i="5"/>
  <c r="D81" i="5"/>
  <c r="F80" i="5"/>
  <c r="E80" i="5"/>
  <c r="D80" i="5"/>
  <c r="F79" i="5"/>
  <c r="E79" i="5"/>
  <c r="D79" i="5"/>
  <c r="F78" i="5"/>
  <c r="E78" i="5"/>
  <c r="D78" i="5"/>
  <c r="F77" i="5"/>
  <c r="E77" i="5"/>
  <c r="D77" i="5"/>
  <c r="F76" i="5"/>
  <c r="E76" i="5"/>
  <c r="D76" i="5"/>
  <c r="F75" i="5"/>
  <c r="E75" i="5"/>
  <c r="D75" i="5"/>
  <c r="F74" i="5"/>
  <c r="E74" i="5"/>
  <c r="D74" i="5"/>
  <c r="F72" i="5"/>
  <c r="E72" i="5"/>
  <c r="D72" i="5"/>
  <c r="F71" i="5"/>
  <c r="E71" i="5"/>
  <c r="D71" i="5"/>
  <c r="F70" i="5"/>
  <c r="E70" i="5"/>
  <c r="D70" i="5"/>
  <c r="F69" i="5"/>
  <c r="E69" i="5"/>
  <c r="D69" i="5"/>
  <c r="F68" i="5"/>
  <c r="E68" i="5"/>
  <c r="D68" i="5"/>
  <c r="F67" i="5"/>
  <c r="E67" i="5"/>
  <c r="D67" i="5"/>
  <c r="F66" i="5"/>
  <c r="E66" i="5"/>
  <c r="D66" i="5"/>
  <c r="F65" i="5"/>
  <c r="E65" i="5"/>
  <c r="D65" i="5"/>
  <c r="F64" i="5"/>
  <c r="E64" i="5"/>
  <c r="D64" i="5"/>
  <c r="F63" i="5"/>
  <c r="E63" i="5"/>
  <c r="D63" i="5"/>
  <c r="F62" i="5"/>
  <c r="E62" i="5"/>
  <c r="D62" i="5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5" i="5"/>
  <c r="E5" i="5"/>
  <c r="D5" i="5"/>
  <c r="E36" i="3"/>
  <c r="E37" i="3" s="1"/>
  <c r="D36" i="3"/>
  <c r="D37" i="3" s="1"/>
  <c r="B37" i="1" s="1"/>
  <c r="G36" i="3"/>
  <c r="G19" i="3"/>
  <c r="G18" i="3"/>
  <c r="G17" i="3"/>
  <c r="G16" i="3"/>
  <c r="G15" i="3"/>
  <c r="E12" i="3"/>
  <c r="D12" i="3"/>
  <c r="B12" i="3"/>
  <c r="G11" i="3"/>
  <c r="G10" i="3"/>
  <c r="G9" i="3"/>
  <c r="G8" i="3"/>
  <c r="G7" i="3"/>
  <c r="G6" i="3"/>
  <c r="H19" i="2"/>
  <c r="G19" i="2"/>
  <c r="F19" i="2"/>
  <c r="B9" i="1"/>
  <c r="D109" i="5" l="1"/>
  <c r="E109" i="5"/>
  <c r="B24" i="1"/>
  <c r="C127" i="5"/>
  <c r="D18" i="2"/>
  <c r="B119" i="5"/>
  <c r="C10" i="2"/>
  <c r="B115" i="5"/>
  <c r="C6" i="2"/>
  <c r="C125" i="5"/>
  <c r="D16" i="2"/>
  <c r="J16" i="2" s="1"/>
  <c r="D9" i="2"/>
  <c r="J9" i="2" s="1"/>
  <c r="C118" i="5"/>
  <c r="C122" i="5"/>
  <c r="D13" i="2"/>
  <c r="J13" i="2" s="1"/>
  <c r="C12" i="2"/>
  <c r="B121" i="5"/>
  <c r="J18" i="2"/>
  <c r="B116" i="5"/>
  <c r="C7" i="2"/>
  <c r="B122" i="5"/>
  <c r="C13" i="2"/>
  <c r="B124" i="5"/>
  <c r="C15" i="2"/>
  <c r="B114" i="5"/>
  <c r="D110" i="5"/>
  <c r="C11" i="2"/>
  <c r="B120" i="5"/>
  <c r="D11" i="2"/>
  <c r="J11" i="2" s="1"/>
  <c r="C120" i="5"/>
  <c r="G35" i="4"/>
  <c r="F35" i="4"/>
  <c r="R68" i="4"/>
  <c r="N67" i="4"/>
  <c r="I66" i="4"/>
  <c r="C65" i="4"/>
  <c r="Q63" i="4"/>
  <c r="M62" i="4"/>
  <c r="I61" i="4"/>
  <c r="C60" i="4"/>
  <c r="Q58" i="4"/>
  <c r="M57" i="4"/>
  <c r="I56" i="4"/>
  <c r="C55" i="4"/>
  <c r="Q53" i="4"/>
  <c r="M52" i="4"/>
  <c r="I51" i="4"/>
  <c r="C50" i="4"/>
  <c r="Q48" i="4"/>
  <c r="M47" i="4"/>
  <c r="I46" i="4"/>
  <c r="C45" i="4"/>
  <c r="Q43" i="4"/>
  <c r="M42" i="4"/>
  <c r="I41" i="4"/>
  <c r="C40" i="4"/>
  <c r="Q38" i="4"/>
  <c r="M37" i="4"/>
  <c r="I36" i="4"/>
  <c r="C34" i="4"/>
  <c r="Q32" i="4"/>
  <c r="M31" i="4"/>
  <c r="I30" i="4"/>
  <c r="C29" i="4"/>
  <c r="Q27" i="4"/>
  <c r="M26" i="4"/>
  <c r="I25" i="4"/>
  <c r="C24" i="4"/>
  <c r="Q22" i="4"/>
  <c r="M21" i="4"/>
  <c r="I20" i="4"/>
  <c r="C19" i="4"/>
  <c r="Q17" i="4"/>
  <c r="M16" i="4"/>
  <c r="I15" i="4"/>
  <c r="C14" i="4"/>
  <c r="Q12" i="4"/>
  <c r="M11" i="4"/>
  <c r="I10" i="4"/>
  <c r="C9" i="4"/>
  <c r="Q7" i="4"/>
  <c r="M6" i="4"/>
  <c r="I5" i="4"/>
  <c r="C35" i="4"/>
  <c r="Q68" i="4"/>
  <c r="M67" i="4"/>
  <c r="H66" i="4"/>
  <c r="B65" i="4"/>
  <c r="P63" i="4"/>
  <c r="L62" i="4"/>
  <c r="H61" i="4"/>
  <c r="B60" i="4"/>
  <c r="P58" i="4"/>
  <c r="L57" i="4"/>
  <c r="H56" i="4"/>
  <c r="B55" i="4"/>
  <c r="D55" i="4" s="1"/>
  <c r="E55" i="4" s="1"/>
  <c r="P53" i="4"/>
  <c r="L52" i="4"/>
  <c r="H51" i="4"/>
  <c r="B50" i="4"/>
  <c r="P48" i="4"/>
  <c r="L47" i="4"/>
  <c r="H46" i="4"/>
  <c r="B45" i="4"/>
  <c r="P43" i="4"/>
  <c r="L42" i="4"/>
  <c r="H41" i="4"/>
  <c r="B40" i="4"/>
  <c r="P38" i="4"/>
  <c r="L37" i="4"/>
  <c r="H36" i="4"/>
  <c r="B34" i="4"/>
  <c r="S69" i="4"/>
  <c r="O68" i="4"/>
  <c r="K67" i="4"/>
  <c r="F66" i="4"/>
  <c r="R64" i="4"/>
  <c r="N63" i="4"/>
  <c r="J62" i="4"/>
  <c r="F61" i="4"/>
  <c r="R59" i="4"/>
  <c r="N58" i="4"/>
  <c r="J57" i="4"/>
  <c r="F56" i="4"/>
  <c r="R54" i="4"/>
  <c r="N53" i="4"/>
  <c r="J52" i="4"/>
  <c r="F51" i="4"/>
  <c r="R49" i="4"/>
  <c r="N48" i="4"/>
  <c r="J47" i="4"/>
  <c r="F46" i="4"/>
  <c r="R44" i="4"/>
  <c r="N43" i="4"/>
  <c r="J42" i="4"/>
  <c r="F41" i="4"/>
  <c r="R39" i="4"/>
  <c r="N38" i="4"/>
  <c r="J37" i="4"/>
  <c r="F36" i="4"/>
  <c r="R33" i="4"/>
  <c r="N32" i="4"/>
  <c r="J31" i="4"/>
  <c r="F30" i="4"/>
  <c r="R28" i="4"/>
  <c r="N27" i="4"/>
  <c r="J26" i="4"/>
  <c r="F25" i="4"/>
  <c r="R23" i="4"/>
  <c r="N22" i="4"/>
  <c r="J21" i="4"/>
  <c r="F20" i="4"/>
  <c r="R18" i="4"/>
  <c r="N17" i="4"/>
  <c r="J16" i="4"/>
  <c r="F15" i="4"/>
  <c r="R13" i="4"/>
  <c r="N12" i="4"/>
  <c r="J11" i="4"/>
  <c r="F10" i="4"/>
  <c r="R69" i="4"/>
  <c r="N68" i="4"/>
  <c r="J67" i="4"/>
  <c r="C66" i="4"/>
  <c r="Q64" i="4"/>
  <c r="M63" i="4"/>
  <c r="I62" i="4"/>
  <c r="C61" i="4"/>
  <c r="Q59" i="4"/>
  <c r="M58" i="4"/>
  <c r="I57" i="4"/>
  <c r="C56" i="4"/>
  <c r="Q54" i="4"/>
  <c r="M53" i="4"/>
  <c r="I52" i="4"/>
  <c r="C51" i="4"/>
  <c r="Q49" i="4"/>
  <c r="M48" i="4"/>
  <c r="I47" i="4"/>
  <c r="C46" i="4"/>
  <c r="Q44" i="4"/>
  <c r="M43" i="4"/>
  <c r="I42" i="4"/>
  <c r="C41" i="4"/>
  <c r="Q39" i="4"/>
  <c r="M38" i="4"/>
  <c r="I37" i="4"/>
  <c r="C36" i="4"/>
  <c r="Q33" i="4"/>
  <c r="M32" i="4"/>
  <c r="I31" i="4"/>
  <c r="C30" i="4"/>
  <c r="Q28" i="4"/>
  <c r="M27" i="4"/>
  <c r="I26" i="4"/>
  <c r="C25" i="4"/>
  <c r="Q23" i="4"/>
  <c r="M22" i="4"/>
  <c r="I21" i="4"/>
  <c r="C20" i="4"/>
  <c r="Q18" i="4"/>
  <c r="M17" i="4"/>
  <c r="I16" i="4"/>
  <c r="C15" i="4"/>
  <c r="Q13" i="4"/>
  <c r="M12" i="4"/>
  <c r="I11" i="4"/>
  <c r="C10" i="4"/>
  <c r="Q8" i="4"/>
  <c r="M7" i="4"/>
  <c r="I6" i="4"/>
  <c r="C5" i="4"/>
  <c r="N49" i="4"/>
  <c r="R40" i="4"/>
  <c r="R34" i="4"/>
  <c r="F31" i="4"/>
  <c r="J27" i="4"/>
  <c r="N23" i="4"/>
  <c r="F21" i="4"/>
  <c r="J17" i="4"/>
  <c r="R14" i="4"/>
  <c r="F11" i="4"/>
  <c r="J7" i="4"/>
  <c r="C67" i="4"/>
  <c r="Q69" i="4"/>
  <c r="M68" i="4"/>
  <c r="I67" i="4"/>
  <c r="B66" i="4"/>
  <c r="P64" i="4"/>
  <c r="L63" i="4"/>
  <c r="H62" i="4"/>
  <c r="B61" i="4"/>
  <c r="P59" i="4"/>
  <c r="L58" i="4"/>
  <c r="H57" i="4"/>
  <c r="B56" i="4"/>
  <c r="P54" i="4"/>
  <c r="L53" i="4"/>
  <c r="H52" i="4"/>
  <c r="B51" i="4"/>
  <c r="P49" i="4"/>
  <c r="L48" i="4"/>
  <c r="H47" i="4"/>
  <c r="B46" i="4"/>
  <c r="P44" i="4"/>
  <c r="L43" i="4"/>
  <c r="H42" i="4"/>
  <c r="B41" i="4"/>
  <c r="P39" i="4"/>
  <c r="L38" i="4"/>
  <c r="H37" i="4"/>
  <c r="B36" i="4"/>
  <c r="P33" i="4"/>
  <c r="L32" i="4"/>
  <c r="H31" i="4"/>
  <c r="B30" i="4"/>
  <c r="P28" i="4"/>
  <c r="L27" i="4"/>
  <c r="H26" i="4"/>
  <c r="B25" i="4"/>
  <c r="P23" i="4"/>
  <c r="L22" i="4"/>
  <c r="H21" i="4"/>
  <c r="B20" i="4"/>
  <c r="P18" i="4"/>
  <c r="L17" i="4"/>
  <c r="H16" i="4"/>
  <c r="B15" i="4"/>
  <c r="P13" i="4"/>
  <c r="L12" i="4"/>
  <c r="H11" i="4"/>
  <c r="B10" i="4"/>
  <c r="P8" i="4"/>
  <c r="L7" i="4"/>
  <c r="H6" i="4"/>
  <c r="B5" i="4"/>
  <c r="R65" i="4"/>
  <c r="N59" i="4"/>
  <c r="F57" i="4"/>
  <c r="N54" i="4"/>
  <c r="F52" i="4"/>
  <c r="J48" i="4"/>
  <c r="R45" i="4"/>
  <c r="J43" i="4"/>
  <c r="N39" i="4"/>
  <c r="J38" i="4"/>
  <c r="N33" i="4"/>
  <c r="J32" i="4"/>
  <c r="N28" i="4"/>
  <c r="F26" i="4"/>
  <c r="J22" i="4"/>
  <c r="R19" i="4"/>
  <c r="F16" i="4"/>
  <c r="J12" i="4"/>
  <c r="N8" i="4"/>
  <c r="F6" i="4"/>
  <c r="P69" i="4"/>
  <c r="L68" i="4"/>
  <c r="H67" i="4"/>
  <c r="S65" i="4"/>
  <c r="O64" i="4"/>
  <c r="K63" i="4"/>
  <c r="G62" i="4"/>
  <c r="S60" i="4"/>
  <c r="O59" i="4"/>
  <c r="K58" i="4"/>
  <c r="G57" i="4"/>
  <c r="S55" i="4"/>
  <c r="O54" i="4"/>
  <c r="K53" i="4"/>
  <c r="G52" i="4"/>
  <c r="S50" i="4"/>
  <c r="O49" i="4"/>
  <c r="K48" i="4"/>
  <c r="G47" i="4"/>
  <c r="S45" i="4"/>
  <c r="O44" i="4"/>
  <c r="K43" i="4"/>
  <c r="G42" i="4"/>
  <c r="S40" i="4"/>
  <c r="O39" i="4"/>
  <c r="K38" i="4"/>
  <c r="G37" i="4"/>
  <c r="S34" i="4"/>
  <c r="O33" i="4"/>
  <c r="K32" i="4"/>
  <c r="G31" i="4"/>
  <c r="S29" i="4"/>
  <c r="O28" i="4"/>
  <c r="K27" i="4"/>
  <c r="G26" i="4"/>
  <c r="S24" i="4"/>
  <c r="O23" i="4"/>
  <c r="K22" i="4"/>
  <c r="G21" i="4"/>
  <c r="S19" i="4"/>
  <c r="O18" i="4"/>
  <c r="K17" i="4"/>
  <c r="G16" i="4"/>
  <c r="S14" i="4"/>
  <c r="O13" i="4"/>
  <c r="K12" i="4"/>
  <c r="G11" i="4"/>
  <c r="S9" i="4"/>
  <c r="O8" i="4"/>
  <c r="K7" i="4"/>
  <c r="G6" i="4"/>
  <c r="S35" i="4"/>
  <c r="O69" i="4"/>
  <c r="K68" i="4"/>
  <c r="G67" i="4"/>
  <c r="N64" i="4"/>
  <c r="J63" i="4"/>
  <c r="F62" i="4"/>
  <c r="R60" i="4"/>
  <c r="J58" i="4"/>
  <c r="R55" i="4"/>
  <c r="J53" i="4"/>
  <c r="R50" i="4"/>
  <c r="F47" i="4"/>
  <c r="N44" i="4"/>
  <c r="F42" i="4"/>
  <c r="F37" i="4"/>
  <c r="R29" i="4"/>
  <c r="R24" i="4"/>
  <c r="N18" i="4"/>
  <c r="N13" i="4"/>
  <c r="R9" i="4"/>
  <c r="H35" i="4"/>
  <c r="C68" i="4"/>
  <c r="G66" i="4"/>
  <c r="G64" i="4"/>
  <c r="C62" i="4"/>
  <c r="J60" i="4"/>
  <c r="H58" i="4"/>
  <c r="M56" i="4"/>
  <c r="K54" i="4"/>
  <c r="P52" i="4"/>
  <c r="N50" i="4"/>
  <c r="S48" i="4"/>
  <c r="Q46" i="4"/>
  <c r="F45" i="4"/>
  <c r="B43" i="4"/>
  <c r="G41" i="4"/>
  <c r="G39" i="4"/>
  <c r="C37" i="4"/>
  <c r="J34" i="4"/>
  <c r="I32" i="4"/>
  <c r="O30" i="4"/>
  <c r="B29" i="4"/>
  <c r="D29" i="4" s="1"/>
  <c r="E29" i="4" s="1"/>
  <c r="C27" i="4"/>
  <c r="K25" i="4"/>
  <c r="K23" i="4"/>
  <c r="Q21" i="4"/>
  <c r="Q19" i="4"/>
  <c r="G18" i="4"/>
  <c r="L16" i="4"/>
  <c r="M14" i="4"/>
  <c r="S12" i="4"/>
  <c r="S10" i="4"/>
  <c r="I9" i="4"/>
  <c r="O7" i="4"/>
  <c r="R5" i="4"/>
  <c r="O46" i="4"/>
  <c r="P40" i="4"/>
  <c r="C39" i="4"/>
  <c r="S36" i="4"/>
  <c r="H34" i="4"/>
  <c r="M30" i="4"/>
  <c r="S26" i="4"/>
  <c r="H25" i="4"/>
  <c r="O19" i="4"/>
  <c r="C16" i="4"/>
  <c r="P12" i="4"/>
  <c r="I7" i="4"/>
  <c r="G56" i="4"/>
  <c r="K44" i="4"/>
  <c r="N40" i="4"/>
  <c r="S38" i="4"/>
  <c r="K30" i="4"/>
  <c r="K28" i="4"/>
  <c r="Q24" i="4"/>
  <c r="S17" i="4"/>
  <c r="I12" i="4"/>
  <c r="G7" i="4"/>
  <c r="K69" i="4"/>
  <c r="P61" i="4"/>
  <c r="S59" i="4"/>
  <c r="S57" i="4"/>
  <c r="F54" i="4"/>
  <c r="I50" i="4"/>
  <c r="J44" i="4"/>
  <c r="R38" i="4"/>
  <c r="J30" i="4"/>
  <c r="P24" i="4"/>
  <c r="R17" i="4"/>
  <c r="H12" i="4"/>
  <c r="S8" i="4"/>
  <c r="S22" i="4"/>
  <c r="L8" i="4"/>
  <c r="M55" i="4"/>
  <c r="F44" i="4"/>
  <c r="P31" i="4"/>
  <c r="L24" i="4"/>
  <c r="H17" i="4"/>
  <c r="K8" i="4"/>
  <c r="R35" i="4"/>
  <c r="B35" i="4"/>
  <c r="D35" i="4" s="1"/>
  <c r="B68" i="4"/>
  <c r="Q65" i="4"/>
  <c r="F64" i="4"/>
  <c r="B62" i="4"/>
  <c r="I60" i="4"/>
  <c r="G58" i="4"/>
  <c r="L56" i="4"/>
  <c r="J54" i="4"/>
  <c r="O52" i="4"/>
  <c r="M50" i="4"/>
  <c r="R48" i="4"/>
  <c r="P46" i="4"/>
  <c r="S44" i="4"/>
  <c r="S42" i="4"/>
  <c r="Q40" i="4"/>
  <c r="F39" i="4"/>
  <c r="B37" i="4"/>
  <c r="I34" i="4"/>
  <c r="H32" i="4"/>
  <c r="N30" i="4"/>
  <c r="S28" i="4"/>
  <c r="B27" i="4"/>
  <c r="J25" i="4"/>
  <c r="J23" i="4"/>
  <c r="P21" i="4"/>
  <c r="P19" i="4"/>
  <c r="F18" i="4"/>
  <c r="K16" i="4"/>
  <c r="L14" i="4"/>
  <c r="R12" i="4"/>
  <c r="R10" i="4"/>
  <c r="H9" i="4"/>
  <c r="N7" i="4"/>
  <c r="Q5" i="4"/>
  <c r="M44" i="4"/>
  <c r="M28" i="4"/>
  <c r="I23" i="4"/>
  <c r="C18" i="4"/>
  <c r="K14" i="4"/>
  <c r="G9" i="4"/>
  <c r="P5" i="4"/>
  <c r="F60" i="4"/>
  <c r="Q36" i="4"/>
  <c r="G23" i="4"/>
  <c r="M19" i="4"/>
  <c r="O10" i="4"/>
  <c r="N5" i="4"/>
  <c r="R63" i="4"/>
  <c r="B52" i="4"/>
  <c r="O42" i="4"/>
  <c r="P36" i="4"/>
  <c r="S33" i="4"/>
  <c r="J28" i="4"/>
  <c r="K21" i="4"/>
  <c r="H14" i="4"/>
  <c r="F7" i="4"/>
  <c r="G28" i="4"/>
  <c r="I19" i="4"/>
  <c r="B14" i="4"/>
  <c r="S6" i="4"/>
  <c r="B67" i="4"/>
  <c r="D67" i="4" s="1"/>
  <c r="E67" i="4" s="1"/>
  <c r="P51" i="4"/>
  <c r="B42" i="4"/>
  <c r="G38" i="4"/>
  <c r="P29" i="4"/>
  <c r="R20" i="4"/>
  <c r="S13" i="4"/>
  <c r="H5" i="4"/>
  <c r="N69" i="4"/>
  <c r="S67" i="4"/>
  <c r="P65" i="4"/>
  <c r="C64" i="4"/>
  <c r="S61" i="4"/>
  <c r="H60" i="4"/>
  <c r="F58" i="4"/>
  <c r="K56" i="4"/>
  <c r="I54" i="4"/>
  <c r="N52" i="4"/>
  <c r="L50" i="4"/>
  <c r="O48" i="4"/>
  <c r="R42" i="4"/>
  <c r="G32" i="4"/>
  <c r="O21" i="4"/>
  <c r="Q10" i="4"/>
  <c r="M46" i="4"/>
  <c r="I14" i="4"/>
  <c r="M65" i="4"/>
  <c r="L46" i="4"/>
  <c r="R15" i="4"/>
  <c r="M24" i="4"/>
  <c r="J59" i="4"/>
  <c r="K26" i="4"/>
  <c r="M69" i="4"/>
  <c r="R67" i="4"/>
  <c r="O65" i="4"/>
  <c r="B64" i="4"/>
  <c r="R61" i="4"/>
  <c r="G60" i="4"/>
  <c r="C58" i="4"/>
  <c r="J56" i="4"/>
  <c r="H54" i="4"/>
  <c r="K52" i="4"/>
  <c r="K50" i="4"/>
  <c r="I48" i="4"/>
  <c r="N46" i="4"/>
  <c r="L44" i="4"/>
  <c r="Q42" i="4"/>
  <c r="O40" i="4"/>
  <c r="B39" i="4"/>
  <c r="D39" i="4" s="1"/>
  <c r="E39" i="4" s="1"/>
  <c r="R36" i="4"/>
  <c r="G34" i="4"/>
  <c r="F32" i="4"/>
  <c r="L30" i="4"/>
  <c r="L28" i="4"/>
  <c r="R26" i="4"/>
  <c r="G25" i="4"/>
  <c r="H23" i="4"/>
  <c r="N21" i="4"/>
  <c r="N19" i="4"/>
  <c r="B18" i="4"/>
  <c r="B16" i="4"/>
  <c r="J14" i="4"/>
  <c r="O12" i="4"/>
  <c r="P10" i="4"/>
  <c r="F9" i="4"/>
  <c r="H7" i="4"/>
  <c r="O5" i="4"/>
  <c r="L69" i="4"/>
  <c r="Q67" i="4"/>
  <c r="S63" i="4"/>
  <c r="Q61" i="4"/>
  <c r="B58" i="4"/>
  <c r="G54" i="4"/>
  <c r="C52" i="4"/>
  <c r="J50" i="4"/>
  <c r="H48" i="4"/>
  <c r="P42" i="4"/>
  <c r="F34" i="4"/>
  <c r="Q26" i="4"/>
  <c r="L21" i="4"/>
  <c r="B9" i="4"/>
  <c r="Q55" i="4"/>
  <c r="M40" i="4"/>
  <c r="B32" i="4"/>
  <c r="P26" i="4"/>
  <c r="L19" i="4"/>
  <c r="N10" i="4"/>
  <c r="M5" i="4"/>
  <c r="Q29" i="4"/>
  <c r="O15" i="4"/>
  <c r="C12" i="4"/>
  <c r="J5" i="4"/>
  <c r="G69" i="4"/>
  <c r="O57" i="4"/>
  <c r="R53" i="4"/>
  <c r="S47" i="4"/>
  <c r="I40" i="4"/>
  <c r="J33" i="4"/>
  <c r="R22" i="4"/>
  <c r="N15" i="4"/>
  <c r="J10" i="4"/>
  <c r="N65" i="4"/>
  <c r="C32" i="4"/>
  <c r="S15" i="4"/>
  <c r="P67" i="4"/>
  <c r="G48" i="4"/>
  <c r="F23" i="4"/>
  <c r="S20" i="4"/>
  <c r="I65" i="4"/>
  <c r="F28" i="4"/>
  <c r="L61" i="4"/>
  <c r="J69" i="4"/>
  <c r="O67" i="4"/>
  <c r="L65" i="4"/>
  <c r="O63" i="4"/>
  <c r="O61" i="4"/>
  <c r="M59" i="4"/>
  <c r="R57" i="4"/>
  <c r="P55" i="4"/>
  <c r="C54" i="4"/>
  <c r="S51" i="4"/>
  <c r="H50" i="4"/>
  <c r="F48" i="4"/>
  <c r="K46" i="4"/>
  <c r="I44" i="4"/>
  <c r="N42" i="4"/>
  <c r="L40" i="4"/>
  <c r="O38" i="4"/>
  <c r="O36" i="4"/>
  <c r="M33" i="4"/>
  <c r="S31" i="4"/>
  <c r="H30" i="4"/>
  <c r="I28" i="4"/>
  <c r="O26" i="4"/>
  <c r="O24" i="4"/>
  <c r="C23" i="4"/>
  <c r="C21" i="4"/>
  <c r="K19" i="4"/>
  <c r="P17" i="4"/>
  <c r="Q15" i="4"/>
  <c r="G14" i="4"/>
  <c r="G12" i="4"/>
  <c r="M10" i="4"/>
  <c r="R8" i="4"/>
  <c r="C7" i="4"/>
  <c r="L5" i="4"/>
  <c r="G30" i="4"/>
  <c r="B23" i="4"/>
  <c r="D23" i="4" s="1"/>
  <c r="E23" i="4" s="1"/>
  <c r="J19" i="4"/>
  <c r="P15" i="4"/>
  <c r="F12" i="4"/>
  <c r="L10" i="4"/>
  <c r="B7" i="4"/>
  <c r="H69" i="4"/>
  <c r="H63" i="4"/>
  <c r="M61" i="4"/>
  <c r="K59" i="4"/>
  <c r="P57" i="4"/>
  <c r="N55" i="4"/>
  <c r="S53" i="4"/>
  <c r="Q51" i="4"/>
  <c r="F50" i="4"/>
  <c r="B48" i="4"/>
  <c r="G46" i="4"/>
  <c r="G44" i="4"/>
  <c r="C42" i="4"/>
  <c r="J40" i="4"/>
  <c r="H38" i="4"/>
  <c r="M36" i="4"/>
  <c r="K33" i="4"/>
  <c r="Q31" i="4"/>
  <c r="L26" i="4"/>
  <c r="I17" i="4"/>
  <c r="K10" i="4"/>
  <c r="G63" i="4"/>
  <c r="S49" i="4"/>
  <c r="Q45" i="4"/>
  <c r="L36" i="4"/>
  <c r="H19" i="4"/>
  <c r="B12" i="4"/>
  <c r="R6" i="4"/>
  <c r="F69" i="4"/>
  <c r="I69" i="4"/>
  <c r="L67" i="4"/>
  <c r="K65" i="4"/>
  <c r="I63" i="4"/>
  <c r="N61" i="4"/>
  <c r="L59" i="4"/>
  <c r="Q57" i="4"/>
  <c r="O55" i="4"/>
  <c r="B54" i="4"/>
  <c r="R51" i="4"/>
  <c r="G50" i="4"/>
  <c r="C48" i="4"/>
  <c r="J46" i="4"/>
  <c r="H44" i="4"/>
  <c r="K42" i="4"/>
  <c r="K40" i="4"/>
  <c r="I38" i="4"/>
  <c r="N36" i="4"/>
  <c r="L33" i="4"/>
  <c r="R31" i="4"/>
  <c r="H28" i="4"/>
  <c r="N26" i="4"/>
  <c r="N24" i="4"/>
  <c r="B21" i="4"/>
  <c r="D21" i="4" s="1"/>
  <c r="E21" i="4" s="1"/>
  <c r="O17" i="4"/>
  <c r="F14" i="4"/>
  <c r="M8" i="4"/>
  <c r="K5" i="4"/>
  <c r="F67" i="4"/>
  <c r="J65" i="4"/>
  <c r="H65" i="4"/>
  <c r="Q35" i="4"/>
  <c r="Q66" i="4"/>
  <c r="S62" i="4"/>
  <c r="F59" i="4"/>
  <c r="I55" i="4"/>
  <c r="L51" i="4"/>
  <c r="O47" i="4"/>
  <c r="R43" i="4"/>
  <c r="S39" i="4"/>
  <c r="Q34" i="4"/>
  <c r="K31" i="4"/>
  <c r="R27" i="4"/>
  <c r="H24" i="4"/>
  <c r="N20" i="4"/>
  <c r="B17" i="4"/>
  <c r="J13" i="4"/>
  <c r="P9" i="4"/>
  <c r="N6" i="4"/>
  <c r="H43" i="4"/>
  <c r="J6" i="4"/>
  <c r="O62" i="4"/>
  <c r="B47" i="4"/>
  <c r="J39" i="4"/>
  <c r="S23" i="4"/>
  <c r="J20" i="4"/>
  <c r="L9" i="4"/>
  <c r="N62" i="4"/>
  <c r="M54" i="4"/>
  <c r="I39" i="4"/>
  <c r="M23" i="4"/>
  <c r="C13" i="4"/>
  <c r="B6" i="4"/>
  <c r="K66" i="4"/>
  <c r="H39" i="4"/>
  <c r="G20" i="4"/>
  <c r="B13" i="4"/>
  <c r="D13" i="4" s="1"/>
  <c r="E13" i="4" s="1"/>
  <c r="L15" i="4"/>
  <c r="G61" i="4"/>
  <c r="S25" i="4"/>
  <c r="Q11" i="4"/>
  <c r="B57" i="4"/>
  <c r="S37" i="4"/>
  <c r="S18" i="4"/>
  <c r="J15" i="4"/>
  <c r="P60" i="4"/>
  <c r="L45" i="4"/>
  <c r="G22" i="4"/>
  <c r="O11" i="4"/>
  <c r="R56" i="4"/>
  <c r="F22" i="4"/>
  <c r="N60" i="4"/>
  <c r="P37" i="4"/>
  <c r="C22" i="4"/>
  <c r="L11" i="4"/>
  <c r="S52" i="4"/>
  <c r="N25" i="4"/>
  <c r="J18" i="4"/>
  <c r="H68" i="4"/>
  <c r="P32" i="4"/>
  <c r="R7" i="4"/>
  <c r="B49" i="4"/>
  <c r="R21" i="4"/>
  <c r="I59" i="4"/>
  <c r="O51" i="4"/>
  <c r="K36" i="4"/>
  <c r="Q20" i="4"/>
  <c r="H59" i="4"/>
  <c r="B28" i="4"/>
  <c r="L13" i="4"/>
  <c r="J55" i="4"/>
  <c r="S27" i="4"/>
  <c r="K13" i="4"/>
  <c r="P35" i="4"/>
  <c r="P66" i="4"/>
  <c r="R62" i="4"/>
  <c r="C59" i="4"/>
  <c r="H55" i="4"/>
  <c r="K51" i="4"/>
  <c r="N47" i="4"/>
  <c r="O43" i="4"/>
  <c r="M39" i="4"/>
  <c r="P34" i="4"/>
  <c r="C31" i="4"/>
  <c r="P27" i="4"/>
  <c r="G24" i="4"/>
  <c r="M20" i="4"/>
  <c r="S16" i="4"/>
  <c r="I13" i="4"/>
  <c r="O9" i="4"/>
  <c r="L6" i="4"/>
  <c r="G51" i="4"/>
  <c r="S30" i="4"/>
  <c r="K20" i="4"/>
  <c r="G13" i="4"/>
  <c r="M35" i="4"/>
  <c r="S54" i="4"/>
  <c r="G43" i="4"/>
  <c r="R30" i="4"/>
  <c r="F13" i="4"/>
  <c r="L66" i="4"/>
  <c r="S46" i="4"/>
  <c r="Q30" i="4"/>
  <c r="K9" i="4"/>
  <c r="K62" i="4"/>
  <c r="O50" i="4"/>
  <c r="K34" i="4"/>
  <c r="F27" i="4"/>
  <c r="N16" i="4"/>
  <c r="B26" i="4"/>
  <c r="F5" i="4"/>
  <c r="C57" i="4"/>
  <c r="B38" i="4"/>
  <c r="G33" i="4"/>
  <c r="B19" i="4"/>
  <c r="H8" i="4"/>
  <c r="Q60" i="4"/>
  <c r="H22" i="4"/>
  <c r="M64" i="4"/>
  <c r="O41" i="4"/>
  <c r="K29" i="4"/>
  <c r="H15" i="4"/>
  <c r="O60" i="4"/>
  <c r="N41" i="4"/>
  <c r="J29" i="4"/>
  <c r="G15" i="4"/>
  <c r="K64" i="4"/>
  <c r="M41" i="4"/>
  <c r="I29" i="4"/>
  <c r="Q14" i="4"/>
  <c r="P56" i="4"/>
  <c r="H29" i="4"/>
  <c r="S7" i="4"/>
  <c r="O56" i="4"/>
  <c r="H45" i="4"/>
  <c r="S21" i="4"/>
  <c r="H64" i="4"/>
  <c r="O32" i="4"/>
  <c r="B11" i="4"/>
  <c r="P7" i="4"/>
  <c r="L55" i="4"/>
  <c r="H40" i="4"/>
  <c r="Q6" i="4"/>
  <c r="K55" i="4"/>
  <c r="J36" i="4"/>
  <c r="J24" i="4"/>
  <c r="G10" i="4"/>
  <c r="R66" i="4"/>
  <c r="O20" i="4"/>
  <c r="Q9" i="4"/>
  <c r="O35" i="4"/>
  <c r="O66" i="4"/>
  <c r="Q62" i="4"/>
  <c r="B59" i="4"/>
  <c r="G55" i="4"/>
  <c r="J51" i="4"/>
  <c r="K47" i="4"/>
  <c r="I43" i="4"/>
  <c r="L39" i="4"/>
  <c r="O34" i="4"/>
  <c r="B31" i="4"/>
  <c r="O27" i="4"/>
  <c r="F24" i="4"/>
  <c r="L20" i="4"/>
  <c r="R16" i="4"/>
  <c r="H13" i="4"/>
  <c r="N9" i="4"/>
  <c r="K6" i="4"/>
  <c r="C47" i="4"/>
  <c r="N34" i="4"/>
  <c r="I27" i="4"/>
  <c r="Q16" i="4"/>
  <c r="M66" i="4"/>
  <c r="Q50" i="4"/>
  <c r="H27" i="4"/>
  <c r="C6" i="4"/>
  <c r="L35" i="4"/>
  <c r="P50" i="4"/>
  <c r="L34" i="4"/>
  <c r="H20" i="4"/>
  <c r="I58" i="4"/>
  <c r="C43" i="4"/>
  <c r="D43" i="4" s="1"/>
  <c r="E43" i="4" s="1"/>
  <c r="P30" i="4"/>
  <c r="L23" i="4"/>
  <c r="S5" i="4"/>
  <c r="F19" i="4"/>
  <c r="F65" i="4"/>
  <c r="I22" i="4"/>
  <c r="S64" i="4"/>
  <c r="J49" i="4"/>
  <c r="R25" i="4"/>
  <c r="G8" i="4"/>
  <c r="F53" i="4"/>
  <c r="M18" i="4"/>
  <c r="L64" i="4"/>
  <c r="B33" i="4"/>
  <c r="L18" i="4"/>
  <c r="Q56" i="4"/>
  <c r="K18" i="4"/>
  <c r="M60" i="4"/>
  <c r="O37" i="4"/>
  <c r="B22" i="4"/>
  <c r="P14" i="4"/>
  <c r="L60" i="4"/>
  <c r="N37" i="4"/>
  <c r="M25" i="4"/>
  <c r="K60" i="4"/>
  <c r="K37" i="4"/>
  <c r="L25" i="4"/>
  <c r="G17" i="4"/>
  <c r="C63" i="4"/>
  <c r="G40" i="4"/>
  <c r="P20" i="4"/>
  <c r="F40" i="4"/>
  <c r="N35" i="4"/>
  <c r="N66" i="4"/>
  <c r="P62" i="4"/>
  <c r="S58" i="4"/>
  <c r="F55" i="4"/>
  <c r="K39" i="4"/>
  <c r="B24" i="4"/>
  <c r="M9" i="4"/>
  <c r="R58" i="4"/>
  <c r="M34" i="4"/>
  <c r="P16" i="4"/>
  <c r="O58" i="4"/>
  <c r="F43" i="4"/>
  <c r="O16" i="4"/>
  <c r="L54" i="4"/>
  <c r="J9" i="4"/>
  <c r="R11" i="4"/>
  <c r="K49" i="4"/>
  <c r="M29" i="4"/>
  <c r="P41" i="4"/>
  <c r="R37" i="4"/>
  <c r="C53" i="4"/>
  <c r="Q37" i="4"/>
  <c r="G49" i="4"/>
  <c r="I45" i="4"/>
  <c r="R52" i="4"/>
  <c r="N56" i="4"/>
  <c r="N14" i="4"/>
  <c r="F63" i="4"/>
  <c r="K24" i="4"/>
  <c r="N31" i="4"/>
  <c r="B63" i="4"/>
  <c r="P47" i="4"/>
  <c r="I24" i="4"/>
  <c r="R46" i="4"/>
  <c r="L29" i="4"/>
  <c r="P68" i="4"/>
  <c r="C8" i="4"/>
  <c r="S32" i="4"/>
  <c r="R32" i="4"/>
  <c r="O14" i="4"/>
  <c r="J41" i="4"/>
  <c r="R47" i="4"/>
  <c r="F17" i="4"/>
  <c r="C17" i="4"/>
  <c r="G27" i="4"/>
  <c r="N45" i="4"/>
  <c r="M45" i="4"/>
  <c r="C33" i="4"/>
  <c r="K45" i="4"/>
  <c r="B53" i="4"/>
  <c r="F49" i="4"/>
  <c r="C11" i="4"/>
  <c r="Q52" i="4"/>
  <c r="M13" i="4"/>
  <c r="B44" i="4"/>
  <c r="M51" i="4"/>
  <c r="K35" i="4"/>
  <c r="H53" i="4"/>
  <c r="S56" i="4"/>
  <c r="I68" i="4"/>
  <c r="I18" i="4"/>
  <c r="H18" i="4"/>
  <c r="C28" i="4"/>
  <c r="N51" i="4"/>
  <c r="G36" i="4"/>
  <c r="J35" i="4"/>
  <c r="J66" i="4"/>
  <c r="K61" i="4"/>
  <c r="N57" i="4"/>
  <c r="O53" i="4"/>
  <c r="M49" i="4"/>
  <c r="P45" i="4"/>
  <c r="S41" i="4"/>
  <c r="F38" i="4"/>
  <c r="I33" i="4"/>
  <c r="O29" i="4"/>
  <c r="C26" i="4"/>
  <c r="P22" i="4"/>
  <c r="G19" i="4"/>
  <c r="M15" i="4"/>
  <c r="S11" i="4"/>
  <c r="J8" i="4"/>
  <c r="G5" i="4"/>
  <c r="I35" i="4"/>
  <c r="G65" i="4"/>
  <c r="J61" i="4"/>
  <c r="K57" i="4"/>
  <c r="I53" i="4"/>
  <c r="L49" i="4"/>
  <c r="O45" i="4"/>
  <c r="R41" i="4"/>
  <c r="C38" i="4"/>
  <c r="H33" i="4"/>
  <c r="N29" i="4"/>
  <c r="O22" i="4"/>
  <c r="I8" i="4"/>
  <c r="C69" i="4"/>
  <c r="Q41" i="4"/>
  <c r="K15" i="4"/>
  <c r="B69" i="4"/>
  <c r="G53" i="4"/>
  <c r="F33" i="4"/>
  <c r="P11" i="4"/>
  <c r="S68" i="4"/>
  <c r="I49" i="4"/>
  <c r="Q25" i="4"/>
  <c r="F8" i="4"/>
  <c r="H49" i="4"/>
  <c r="P25" i="4"/>
  <c r="N11" i="4"/>
  <c r="J68" i="4"/>
  <c r="J45" i="4"/>
  <c r="O25" i="4"/>
  <c r="B8" i="4"/>
  <c r="J64" i="4"/>
  <c r="L41" i="4"/>
  <c r="K11" i="4"/>
  <c r="I64" i="4"/>
  <c r="C49" i="4"/>
  <c r="K41" i="4"/>
  <c r="G29" i="4"/>
  <c r="G68" i="4"/>
  <c r="G45" i="4"/>
  <c r="F29" i="4"/>
  <c r="F68" i="4"/>
  <c r="C44" i="4"/>
  <c r="O31" i="4"/>
  <c r="H10" i="4"/>
  <c r="S66" i="4"/>
  <c r="Q47" i="4"/>
  <c r="P6" i="4"/>
  <c r="G59" i="4"/>
  <c r="S43" i="4"/>
  <c r="L31" i="4"/>
  <c r="O6" i="4"/>
  <c r="C123" i="5"/>
  <c r="D14" i="2"/>
  <c r="J14" i="2" s="1"/>
  <c r="B125" i="5"/>
  <c r="C16" i="2"/>
  <c r="C115" i="5"/>
  <c r="D6" i="2"/>
  <c r="C124" i="5"/>
  <c r="D15" i="2"/>
  <c r="E15" i="2" s="1"/>
  <c r="B126" i="5"/>
  <c r="C17" i="2"/>
  <c r="B117" i="5"/>
  <c r="C8" i="2"/>
  <c r="C121" i="5"/>
  <c r="D12" i="2"/>
  <c r="J12" i="2" s="1"/>
  <c r="C119" i="5"/>
  <c r="D10" i="2"/>
  <c r="J10" i="2" s="1"/>
  <c r="C116" i="5"/>
  <c r="D7" i="2"/>
  <c r="J7" i="2" s="1"/>
  <c r="C126" i="5"/>
  <c r="D17" i="2"/>
  <c r="J17" i="2" s="1"/>
  <c r="C117" i="5"/>
  <c r="D8" i="2"/>
  <c r="J8" i="2" s="1"/>
  <c r="C114" i="5"/>
  <c r="D5" i="2"/>
  <c r="E5" i="2" s="1"/>
  <c r="E110" i="5"/>
  <c r="B123" i="5"/>
  <c r="C14" i="2"/>
  <c r="C9" i="2"/>
  <c r="B118" i="5"/>
  <c r="B127" i="5"/>
  <c r="B25" i="1"/>
  <c r="B144" i="1"/>
  <c r="B146" i="1" s="1"/>
  <c r="G37" i="3"/>
  <c r="G12" i="3"/>
  <c r="B36" i="1"/>
  <c r="E6" i="2" l="1"/>
  <c r="K10" i="2"/>
  <c r="D24" i="4"/>
  <c r="E24" i="4" s="1"/>
  <c r="D41" i="4"/>
  <c r="E41" i="4" s="1"/>
  <c r="D66" i="4"/>
  <c r="E66" i="4" s="1"/>
  <c r="E16" i="2"/>
  <c r="D38" i="4"/>
  <c r="E38" i="4" s="1"/>
  <c r="E7" i="2"/>
  <c r="B128" i="5"/>
  <c r="E129" i="5" s="1"/>
  <c r="K18" i="2"/>
  <c r="E13" i="2"/>
  <c r="D18" i="4"/>
  <c r="E18" i="4" s="1"/>
  <c r="D15" i="4"/>
  <c r="E15" i="4" s="1"/>
  <c r="E10" i="2"/>
  <c r="D37" i="4"/>
  <c r="E37" i="4" s="1"/>
  <c r="D53" i="4"/>
  <c r="E53" i="4" s="1"/>
  <c r="D33" i="4"/>
  <c r="E33" i="4" s="1"/>
  <c r="D5" i="4"/>
  <c r="E5" i="4" s="1"/>
  <c r="E12" i="2"/>
  <c r="D32" i="4"/>
  <c r="E32" i="4" s="1"/>
  <c r="D10" i="4"/>
  <c r="E10" i="4" s="1"/>
  <c r="D36" i="4"/>
  <c r="E36" i="4" s="1"/>
  <c r="D61" i="4"/>
  <c r="E61" i="4" s="1"/>
  <c r="D34" i="4"/>
  <c r="E34" i="4" s="1"/>
  <c r="E35" i="4" s="1"/>
  <c r="D60" i="4"/>
  <c r="E60" i="4" s="1"/>
  <c r="D48" i="4"/>
  <c r="E48" i="4" s="1"/>
  <c r="D44" i="4"/>
  <c r="E44" i="4" s="1"/>
  <c r="D52" i="4"/>
  <c r="E52" i="4" s="1"/>
  <c r="D9" i="4"/>
  <c r="E9" i="4" s="1"/>
  <c r="D64" i="4"/>
  <c r="E64" i="4" s="1"/>
  <c r="D20" i="4"/>
  <c r="E20" i="4" s="1"/>
  <c r="D46" i="4"/>
  <c r="E46" i="4" s="1"/>
  <c r="D17" i="4"/>
  <c r="E17" i="4" s="1"/>
  <c r="D68" i="4"/>
  <c r="E68" i="4" s="1"/>
  <c r="E11" i="2"/>
  <c r="C128" i="5"/>
  <c r="E18" i="2"/>
  <c r="K16" i="2"/>
  <c r="K13" i="2"/>
  <c r="K14" i="2"/>
  <c r="K7" i="2"/>
  <c r="K9" i="2"/>
  <c r="K12" i="2"/>
  <c r="K8" i="2"/>
  <c r="K17" i="2"/>
  <c r="M70" i="4"/>
  <c r="H70" i="4"/>
  <c r="B70" i="4"/>
  <c r="D30" i="4"/>
  <c r="E30" i="4" s="1"/>
  <c r="D56" i="4"/>
  <c r="E56" i="4" s="1"/>
  <c r="J15" i="2"/>
  <c r="K15" i="2" s="1"/>
  <c r="J6" i="2"/>
  <c r="K6" i="2" s="1"/>
  <c r="E17" i="2"/>
  <c r="D69" i="4"/>
  <c r="E69" i="4" s="1"/>
  <c r="E70" i="4" s="1"/>
  <c r="D19" i="4"/>
  <c r="E19" i="4" s="1"/>
  <c r="O70" i="4"/>
  <c r="N70" i="4"/>
  <c r="D27" i="4"/>
  <c r="E27" i="4" s="1"/>
  <c r="D28" i="4"/>
  <c r="E28" i="4" s="1"/>
  <c r="D16" i="4"/>
  <c r="E16" i="4" s="1"/>
  <c r="P70" i="4"/>
  <c r="D40" i="4"/>
  <c r="E40" i="4" s="1"/>
  <c r="D65" i="4"/>
  <c r="E65" i="4" s="1"/>
  <c r="L70" i="4"/>
  <c r="D14" i="4"/>
  <c r="E14" i="4" s="1"/>
  <c r="J5" i="2"/>
  <c r="K5" i="2" s="1"/>
  <c r="D62" i="4"/>
  <c r="E62" i="4" s="1"/>
  <c r="D45" i="4"/>
  <c r="E45" i="4" s="1"/>
  <c r="K70" i="4"/>
  <c r="E14" i="2"/>
  <c r="C70" i="4"/>
  <c r="D8" i="4"/>
  <c r="E8" i="4" s="1"/>
  <c r="S70" i="4"/>
  <c r="D47" i="4"/>
  <c r="E47" i="4" s="1"/>
  <c r="R70" i="4"/>
  <c r="I70" i="4"/>
  <c r="F70" i="4"/>
  <c r="D22" i="4"/>
  <c r="E22" i="4" s="1"/>
  <c r="D49" i="4"/>
  <c r="E49" i="4" s="1"/>
  <c r="D57" i="4"/>
  <c r="E57" i="4" s="1"/>
  <c r="Q70" i="4"/>
  <c r="D6" i="4"/>
  <c r="E6" i="4" s="1"/>
  <c r="D42" i="4"/>
  <c r="E42" i="4" s="1"/>
  <c r="D26" i="4"/>
  <c r="E26" i="4" s="1"/>
  <c r="D31" i="4"/>
  <c r="E31" i="4" s="1"/>
  <c r="D7" i="4"/>
  <c r="E7" i="4" s="1"/>
  <c r="G70" i="4"/>
  <c r="D59" i="4"/>
  <c r="E59" i="4" s="1"/>
  <c r="D63" i="4"/>
  <c r="E63" i="4" s="1"/>
  <c r="J70" i="4"/>
  <c r="D58" i="4"/>
  <c r="E58" i="4" s="1"/>
  <c r="D25" i="4"/>
  <c r="E25" i="4" s="1"/>
  <c r="D51" i="4"/>
  <c r="E51" i="4" s="1"/>
  <c r="D50" i="4"/>
  <c r="E50" i="4" s="1"/>
  <c r="D11" i="4"/>
  <c r="E11" i="4" s="1"/>
  <c r="D54" i="4"/>
  <c r="E54" i="4" s="1"/>
  <c r="D12" i="4"/>
  <c r="E12" i="4" s="1"/>
  <c r="K11" i="2"/>
  <c r="E8" i="2"/>
  <c r="C19" i="2"/>
  <c r="B147" i="1" s="1"/>
  <c r="E9" i="2"/>
  <c r="D19" i="2"/>
  <c r="B16" i="1" s="1"/>
  <c r="B17" i="1" s="1"/>
  <c r="B148" i="1" l="1"/>
  <c r="B149" i="1" s="1"/>
  <c r="D70" i="4"/>
  <c r="E19" i="2"/>
  <c r="J19" i="2"/>
  <c r="K19" i="2" s="1"/>
  <c r="B150" i="1" s="1"/>
  <c r="B28" i="1" l="1"/>
  <c r="B30" i="1" s="1"/>
  <c r="B2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</author>
  </authors>
  <commentList>
    <comment ref="B5" authorId="0" shapeId="0" xr:uid="{2D4ADC55-8460-4E09-B759-F0AAB75192D0}">
      <text>
        <r>
          <rPr>
            <b/>
            <sz val="9"/>
            <color indexed="81"/>
            <rFont val="Tahoma"/>
            <family val="2"/>
          </rPr>
          <t>Distressed</t>
        </r>
      </text>
    </comment>
  </commentList>
</comments>
</file>

<file path=xl/sharedStrings.xml><?xml version="1.0" encoding="utf-8"?>
<sst xmlns="http://schemas.openxmlformats.org/spreadsheetml/2006/main" count="648" uniqueCount="362">
  <si>
    <t>Konigstein Affordable Housing Fund (KAHF) — GIPF 99.01% / Konigstein Capital 0.99%. All amounts N$ (NAD). Blue = source figure typed from a named document. Black = formula. Green = link to another tab in this workbook.</t>
  </si>
  <si>
    <t>A.  CAPITAL FROM GIPF — the input side</t>
  </si>
  <si>
    <t>Total capital allocation approved for investment (fund level)</t>
  </si>
  <si>
    <t>Fund drawdown register (KAHF_Damask Performance (CHQ) &gt; Drawdowns), row 23 column P.</t>
  </si>
  <si>
    <t>KAHF trial balance as at 28-02-2026, account 5100/020.</t>
  </si>
  <si>
    <t>GIPF capital account at 28 Feb 2025 (comparative)</t>
  </si>
  <si>
    <t>Same trial balance, prior-year column. NOTE: a second trial balance in the pack shows N$131,984,039 at the same date — unreconciled.</t>
  </si>
  <si>
    <t>Konigstein Capital capital account at 28 Feb 2026</t>
  </si>
  <si>
    <t>Account 5100/030. GIPF share of paid-in capital = 99.01%.</t>
  </si>
  <si>
    <t>Capital called from GIPF during the year.</t>
  </si>
  <si>
    <t>Capital still callable from GIPF (undrawn)</t>
  </si>
  <si>
    <t>Fund drawdown register row 106. Fund total N$254,421,625.91 of which KC N$2,519,025.97.</t>
  </si>
  <si>
    <t>Management fees charged to the fund, inception to date</t>
  </si>
  <si>
    <t>Fund drawdown register row 102.</t>
  </si>
  <si>
    <t>Trust expenses, inception to date</t>
  </si>
  <si>
    <t>Fund drawdown register row 103.</t>
  </si>
  <si>
    <t>B.  DISTRIBUTIONS TO GIPF — the output side</t>
  </si>
  <si>
    <t>Cash distributions paid out of KAHF to GIPF, inception to date</t>
  </si>
  <si>
    <t>NO distribution to GIPF is recorded anywhere in the Fund Model folder. The GIPF capital account shows contributions only, with no drawings. Every "distribution" in this model is a repayment from a project INTO the fund, available for recycling.</t>
  </si>
  <si>
    <t>Project repayments received into the fund, inception to date</t>
  </si>
  <si>
    <t>Sheet 2 portfolio total — ties to the Ledger and to Sheet 4.</t>
  </si>
  <si>
    <t>of which recycled into new projects or held as fund liquidity</t>
  </si>
  <si>
    <t>All project repayments have been redeployed or are held in fund liquidity — none has left the fund.</t>
  </si>
  <si>
    <t>Fund liquidity — Capricorn High Yield Fund at 31 Jul 2026</t>
  </si>
  <si>
    <t>CAM investment statement, client 13853366, period 01-31 Jul 2026 (statement dated 11-08-2026).</t>
  </si>
  <si>
    <t>Fund liquidity — Bank Windhoek current account at 28 Feb 2026</t>
  </si>
  <si>
    <t>KAHF trial balance 28-02-2026, account 8400/000.</t>
  </si>
  <si>
    <t>Interest earned on fund liquidity, Jul 2026</t>
  </si>
  <si>
    <t>CAM Interest July 2026 tab, KAHF - Interest Schedule July 2026.</t>
  </si>
  <si>
    <t>C.  BASELINE PERFORMANCE AS AT 30 JUNE 2026</t>
  </si>
  <si>
    <t>Capital deployed into projects, inception to 30-Jun-26</t>
  </si>
  <si>
    <t>SUMIFS over the Ledger tab, date on or before 30-06-2026.</t>
  </si>
  <si>
    <t>Distributions received from projects, inception to 30-Jun-26</t>
  </si>
  <si>
    <t>Net capital outstanding at 30-Jun-26</t>
  </si>
  <si>
    <t>Portfolio carrying value / NAV at the June-26 baseline</t>
  </si>
  <si>
    <t>Sum of the carrying values on Sheet 2 — see that tab for the valuation date behind each one.</t>
  </si>
  <si>
    <t>TVPI on capital deployed at 30-Jun-26</t>
  </si>
  <si>
    <t>Net gain / (deficit) over capital deployed</t>
  </si>
  <si>
    <t>Interest earned across the loan book, Jan-Jul 2026</t>
  </si>
  <si>
    <t>KAHF - Interest Schedule July 2026, "Interest July 2026" tab, total column J.</t>
  </si>
  <si>
    <t>D.  RESTATEMENT — movements since the June 2026 baseline</t>
  </si>
  <si>
    <t>Capital deployed after 30-Jun-26</t>
  </si>
  <si>
    <t>Tama Estates Phase 1 N$4,466,720 and PAM Tree notice 089 N$4,150,000, plus C-Breeze / Tama fee offsets.</t>
  </si>
  <si>
    <t>Distributions received after 30-Jun-26</t>
  </si>
  <si>
    <t>PAM Tree N$28,390,200 and Turnstone Villas N$14,000,000 — the single largest repayment quarter in the fund's history.</t>
  </si>
  <si>
    <t>Net movement since the baseline</t>
  </si>
  <si>
    <t>Restated capital deployed, inception to date</t>
  </si>
  <si>
    <t>Restated distributions received, inception to date</t>
  </si>
  <si>
    <t>Restated net capital outstanding</t>
  </si>
  <si>
    <t>Restated TVPI</t>
  </si>
  <si>
    <t>Projects in the pack</t>
  </si>
  <si>
    <t>Sheet 2 — 10 active, 4 completed.</t>
  </si>
  <si>
    <t>Completed / fully redeemed projects</t>
  </si>
  <si>
    <t>Heavens Ark, NIC Otjomuise Ext 10, Duma Tau, LIH Nkurenkuru Ph 1.</t>
  </si>
  <si>
    <t>Total planned units across the portfolio</t>
  </si>
  <si>
    <t>Sheet 3 portfolio total.</t>
  </si>
  <si>
    <t>Units delivered to date (where the pack records a count)</t>
  </si>
  <si>
    <t>Blanks on Sheet 3 are unrecorded, not zero.</t>
  </si>
  <si>
    <t>SHEET 2 — PROJECT-BY-PROJECT PERFORMANCE</t>
  </si>
  <si>
    <t>Project</t>
  </si>
  <si>
    <t>Status</t>
  </si>
  <si>
    <t>Capital deployed (N$)</t>
  </si>
  <si>
    <t>Capital distributed (N$)</t>
  </si>
  <si>
    <t>Net cash position (N$)</t>
  </si>
  <si>
    <t>Approved deal size / facility (N$)</t>
  </si>
  <si>
    <t>Total project cost (N$)</t>
  </si>
  <si>
    <t>Gross development value (N$)</t>
  </si>
  <si>
    <t>Carrying value / NAV (N$)</t>
  </si>
  <si>
    <t>Total value (dist. + NAV)</t>
  </si>
  <si>
    <t>MOIC / TVPI</t>
  </si>
  <si>
    <t>Updated IRR</t>
  </si>
  <si>
    <t>IRR basis and source</t>
  </si>
  <si>
    <t>Erf 1470 Khomasdal</t>
  </si>
  <si>
    <t>Return Dashboard C8 — realised XIRR. Snapshot 'Expected IRR' on Contract Parameters K103 = 4.0%.</t>
  </si>
  <si>
    <t>Dunescape Villas (Erf 5159)</t>
  </si>
  <si>
    <t>Historical Ledgers F30 — XIRR incl. NAV N$8,508,452 and PM fees N$7,177,927.</t>
  </si>
  <si>
    <t>PAM Tree (Erf 5758)</t>
  </si>
  <si>
    <t>Active</t>
  </si>
  <si>
    <t>Contract Parameters D31 — reported/projected. Workbook XIRR cell is broken (REF-error / mis-summed -33.5%).</t>
  </si>
  <si>
    <t>Turnstone Villas (Erf 8939)</t>
  </si>
  <si>
    <t>Return Dashboard D19 — realised XIRR, event-dated, unrealised NAV excluded.</t>
  </si>
  <si>
    <t>Lithon Nkurenkuru Ext 2</t>
  </si>
  <si>
    <t>Historical Ledgers D111 — IRR incl. terminal NAV. Cash-only realised IRR = 15.76% (D110). The 16.08% on the Return Dashboard is the effective annual rate of the 15% NACM coupon, not an IRR.</t>
  </si>
  <si>
    <t>Mondesa Palms</t>
  </si>
  <si>
    <t>Dashboard E9 — realised IRR base case. PROVISIONAL: facility size, rate, first-draw date and unit price are all placeholders.</t>
  </si>
  <si>
    <t>The Ridge — Rocky Crest Ext 4</t>
  </si>
  <si>
    <t>Dashboard E9 — realised IRR base case.</t>
  </si>
  <si>
    <t>Mango Cove (Otjomuise Ext 10)</t>
  </si>
  <si>
    <t>n/a</t>
  </si>
  <si>
    <t>No IRR in the pack. Interest schedule prices the loan at 14.0% NACM.</t>
  </si>
  <si>
    <t>C-Breeze Heights</t>
  </si>
  <si>
    <t>Vert Development Model — 'Equity - Mezzanine' levered IRR (per instruction). Interest schedule: 15.37% base, 18.0% after participation top-up.</t>
  </si>
  <si>
    <t>Tama Estates</t>
  </si>
  <si>
    <t>Vert Development Model — 'Equity - Investor' levered IRR (per instruction). Interest schedule XIRR on Phase-1 drawn capital = 18.35%.</t>
  </si>
  <si>
    <t>Duma Tau — Kronlein</t>
  </si>
  <si>
    <t>Completed</t>
  </si>
  <si>
    <t>Return Dashboard D19 — event-dated XIRR. Supersedes 11.69% and 15.86% previously reported.</t>
  </si>
  <si>
    <t>LIH Nkurenkuru Ph 1</t>
  </si>
  <si>
    <t>Return Dashboard D19 — XIRR off Net LP cash flow.</t>
  </si>
  <si>
    <t>NIC Otjomuise Ext 10 (Erf 5221)</t>
  </si>
  <si>
    <t>Return Dashboard D19 — realised XIRR, facility fully redeemed 28-Apr-23.</t>
  </si>
  <si>
    <t>Heavens Ark — Otjomuise</t>
  </si>
  <si>
    <t>Return Dashboard D19 — XIRR off Net LP cash flow, fully redeemed.</t>
  </si>
  <si>
    <t>PORTFOLIO TOTAL</t>
  </si>
  <si>
    <t>SHEET 3 — DELIVERY OUTPUTS  (units built vs planned)</t>
  </si>
  <si>
    <t>Planned units for the six named projects are hardcoded per instruction (blue). Every other figure is read from the project model named in the last column. Blank = the pack records no figure — do not read blank as zero.</t>
  </si>
  <si>
    <t>Total planned units</t>
  </si>
  <si>
    <t>Erven / scope</t>
  </si>
  <si>
    <t>Units built to date</t>
  </si>
  <si>
    <t>Units sold / transferred</t>
  </si>
  <si>
    <t>% complete</t>
  </si>
  <si>
    <t>Units outstanding</t>
  </si>
  <si>
    <t>Delivery status</t>
  </si>
  <si>
    <t>Source in the model pack</t>
  </si>
  <si>
    <t>A.  ACTIVE PROJECTS — planned units hardcoded per instruction</t>
  </si>
  <si>
    <t>Erf 5758 Kuisebmund, Walvis Bay — 219 plots on the General Plan</t>
  </si>
  <si>
    <t>Phase 1 of 3 under way</t>
  </si>
  <si>
    <t>Contract Parameters D26 (219 plots), D28 (16 units sold). No units-built count is recorded in the workbook.</t>
  </si>
  <si>
    <t>Erf 1329, CBD Swakopmund — single erf</t>
  </si>
  <si>
    <t>Vertical construction Feb-26 to Oct-26</t>
  </si>
  <si>
    <t>Vert Development Model p.1 — 13 units, vertical end Oct-2026, transfers end Dec-2026. No completions recorded.</t>
  </si>
  <si>
    <t>Erf 673 Tamariskia — 8 stages</t>
  </si>
  <si>
    <t>Horizontal from Apr-26; vertical from Jul-26</t>
  </si>
  <si>
    <t>Vert Development Model p.1 — 87 units, vertical start Jul-2026, transfers start Nov-2026.</t>
  </si>
  <si>
    <t>134 units across 3 erven (4420 / 4421 / 4422)</t>
  </si>
  <si>
    <t>Erf 4420 (40 units) in construction</t>
  </si>
  <si>
    <t>Programme F7 — 15% complete at 18-Jun-26; practical completion forecast 09-Feb-27. Model covers Erf 4420 only.</t>
  </si>
  <si>
    <t>Erf R/E 1502 &amp; Erf 1757, Rocky Crest Ext 4</t>
  </si>
  <si>
    <t>Foundations from Jun-26</t>
  </si>
  <si>
    <t>BudgetActual D6 — construction actual N$0 against a N$20.0m budget; practical completion 01-Mar-27.</t>
  </si>
  <si>
    <t>109 units across 6 erven</t>
  </si>
  <si>
    <t>Early drawdown stage</t>
  </si>
  <si>
    <t>No delivery data in the pack. Unit count taken from the KAHF Projects schedule.</t>
  </si>
  <si>
    <t>Sub-total — hardcoded plan</t>
  </si>
  <si>
    <t>B.  OTHER PROJECTS IN THE PACK — planned units read from the models</t>
  </si>
  <si>
    <t>6 erven; 135 units to be delivered via KAHF (N$27.13m) + FNB (N$20m)</t>
  </si>
  <si>
    <t>Phase 2 (Erf 7077, 24 units) under way</t>
  </si>
  <si>
    <t>Contract Parameters C29 (93 constructed), C30 (255 to be constructed), K96 (229 housing units), K102 (41% complete). The three unit counts in this workbook do not agree.</t>
  </si>
  <si>
    <t>Erf R/E 5159 Ext 15, Swakopmund</t>
  </si>
  <si>
    <t>Complete — all units sold and transferred</t>
  </si>
  <si>
    <t>Cashflow B48 — 100% complete, all 40 units sold and transferred at 30-Apr-26. Contract Parameters M91 flags only 13 units traceable to a transfer schedule.</t>
  </si>
  <si>
    <t>Erf 8939 Ext 35, Swakopmund</t>
  </si>
  <si>
    <t>Construction complete 09-Oct-25</t>
  </si>
  <si>
    <t>Contract Parameters E97 — construction complete, 13 of 17 transferred, all 17 sold; B112 — 4 sold not yet transferred.</t>
  </si>
  <si>
    <t>Erf 845, Nkurenkuru Ext 2 — Phase 2</t>
  </si>
  <si>
    <t>33 of 37 houses complete at 30-Sep-25</t>
  </si>
  <si>
    <t>Cashflow C60/C61/C62 — 37 planned, 33 completed, 89.19% per the fund dashboard.</t>
  </si>
  <si>
    <t>Erf 5221, Otjomuise Ext 10, Windhoek</t>
  </si>
  <si>
    <t>Completed — facility redeemed Apr-23</t>
  </si>
  <si>
    <t>Contract Parameters D20 — 17 sectional title units. B122 flags units sold as not evidenced.</t>
  </si>
  <si>
    <t>Sub-total — other projects</t>
  </si>
  <si>
    <t>Blue = hardcoded planned units supplied by the user. Green = figure read from the project model. Black = formula.</t>
  </si>
  <si>
    <t>Variances against the hardcoded plan, for the record: Mondesa Palms — the model covers Erf 4420 (40 units) only, and the KAHF Projects schedule shows 131, not 134. The Ridge — the KAHF Projects schedule shows 40 units, not 38. PAM Tree, Mango Cove, C-Breeze and Tama agree with the schedule.</t>
  </si>
  <si>
    <t>Erf 1470 Khomasdal carries three unit counts in one workbook (93 built, 255 to be constructed, 229 housing units, 135 across 6 erven). Treat the delivery number as unaudited until the developer confirms.</t>
  </si>
  <si>
    <t>SHEET 4 — CONSOLIDATED MONTHLY CASH FLOWS</t>
  </si>
  <si>
    <t>Live tracking ledger. Every cell is a SUMIFS over the Ledger tab, so adding a dated row on Ledger updates this sheet, Sheet 2 and Sheet 1 automatically. Deployments negative, distributions positive. N$ (NAD).</t>
  </si>
  <si>
    <t>Month</t>
  </si>
  <si>
    <t>Fund drawdowns</t>
  </si>
  <si>
    <t>Fund distributions</t>
  </si>
  <si>
    <t>Net movement</t>
  </si>
  <si>
    <t>Cumulative net position</t>
  </si>
  <si>
    <t>TOTAL</t>
  </si>
  <si>
    <t>CONSOLIDATED EVENT LEDGER — every dated fund cash flow behind Sheets 1-4</t>
  </si>
  <si>
    <t>Fund perspective: capital deployed shown negative, distributions received positive. All amounts N$ (NAD). Blue = source figure typed from a model; nothing on this tab is derived.</t>
  </si>
  <si>
    <t>Date</t>
  </si>
  <si>
    <t>Amount (N$)</t>
  </si>
  <si>
    <t>Drawdown (N$)</t>
  </si>
  <si>
    <t>Distribution (N$)</t>
  </si>
  <si>
    <t>Month key</t>
  </si>
  <si>
    <t>Source workbook / tab</t>
  </si>
  <si>
    <t>C-Breeze Inputs</t>
  </si>
  <si>
    <t>Tama Inputs — Claim 1</t>
  </si>
  <si>
    <t>SOURCES, ASSUMPTIONS AND OPEN RECONCILIATIONS</t>
  </si>
  <si>
    <t>#</t>
  </si>
  <si>
    <t>Item</t>
  </si>
  <si>
    <t>Detail</t>
  </si>
  <si>
    <t>Treatment of Tama Estates and C-Breeze Heights</t>
  </si>
  <si>
    <t>APPLIED</t>
  </si>
  <si>
    <t>Per instruction, the 'Equity - Investor' line in the Tama Estates Vert Development Model (N$10,100,000 committed, 20.8% IRR, 1.32x EMx, distributions N$13,341,540) and the 'Equity - Mezzanine' line in the C-Breeze Heights Vert Development Model (N$1,994,992, 18.0% IRR, 1.15x EMx, distributions N$2,428,302) are treated as the fund's own returns. Note the labels in the models are 'Equity - Investor' and 'Equity - Mezzanine' respectively, not both as given.</t>
  </si>
  <si>
    <t>C-Breeze equity line vs the KAHF facility</t>
  </si>
  <si>
    <t>OPEN</t>
  </si>
  <si>
    <t>The Vert model carries Equity-Mezzanine of N$1,994,992. The signed KAHF facility is N$5,000,000 and N$4,389,111 has actually been drawn (29-May, 04-Jun and 26-Jun 2026). The Vert model is dated 05-03-2026 and pre-dates the drawdowns. Sheet 2 uses the drawn capital for cash and the Vert model's 18.0% for IRR, per instruction. The model should be re-run on the N$5m facility.</t>
  </si>
  <si>
    <t>Fund drawdown register total rows are stale</t>
  </si>
  <si>
    <t>In the fund drawdown register (Drawdowns tab), row 113 'Total Drawdowns' sums only columns B, C, D, E, F, G, I and O — it omits Dunescape, Turnstone, PAM Tree, Mondesa, Rocky Crest and Mango Cove entirely. Row 114 'Total Distributions' likewise omits the N$24.0m Dunescape repayment. The stated totals of N$243,535,135 and N$183,800,002 are therefore both understated. This workbook re-sums the register line by line: N$368,755,917 deployed and N$267,283,868 received.</t>
  </si>
  <si>
    <t>Erf 1470 Khomasdal — capital advanced</t>
  </si>
  <si>
    <t>The fund register carries N$96,688,000 of drawdowns; the project workbook's own notice register carries N$95,611,595. The difference is exactly N$1,076,405.04, a 27-Jun-2019 entry present in the register and absent from the project ledger.</t>
  </si>
  <si>
    <t>Duma Tau — register vs project ledger</t>
  </si>
  <si>
    <t>Register: N$36,109,399 out / N$42,507,268 in. Project workbook: N$38,910,481 out / N$42,162,690 in. The workbook itself flags both differences (facility over-advanced by N$10,910,481; register basis differs by N$827,119). Sheet 4 follows the register because it is the only dated source; Sheet 2's IRR follows the project workbook.</t>
  </si>
  <si>
    <t>Heavens Ark — register nets recycled capital</t>
  </si>
  <si>
    <t>Register: N$65,000,000 out / N$75,599,843 in. Project workbook: N$80,000,936 out / N$90,600,779 in. The N$15,000,936 difference is the Aug-2019 recycle, netted in the register and shown gross in the workbook. Net profit is N$10,599,843 on both bases.</t>
  </si>
  <si>
    <t>Mango Cove — two irreconcilable positions</t>
  </si>
  <si>
    <t>The fund register and the KAHF Projects schedule both show N$12,000,000 advanced on 29-Sep-2025 against a N$20,000,000 approval. The interest schedule ('C - Otjimuise Ext 10, Margo Cov') shows a separate N$15,000,000 facility granted 01-May-2026 at 14% NACM with only N$5,028,879 drawn and a balance of N$5,108,318 at 31-Jul-2026. This workbook uses N$12,000,000. Resolve before the pack goes out.</t>
  </si>
  <si>
    <t>Mondesa Palms — the model is provisional</t>
  </si>
  <si>
    <t>The Mondesa model's own dashboard states that no facility agreement, drawdown notice or investment approval was supplied, and that facility size, interest rate, first drawdown date, drawn-to-date and unit selling price are all placeholders. Its 18.94% IRR is therefore provisional. The register shows N$15,000,000 drawn (Aug-25 and Jun-26); the KAHF Projects schedule shows N$12,958,884; the model assumes N$11,365,558.</t>
  </si>
  <si>
    <t>Mondesa Palms — scope</t>
  </si>
  <si>
    <t>The hardcoded plan is 134 units across 3 erven (4420 / 4421 / 4422). The only model in the folder covers Erf 4420 and 40 units. The KAHF Projects schedule shows 131. No model exists for the other two erven.</t>
  </si>
  <si>
    <t>The Ridge — Rocky Crest unit count</t>
  </si>
  <si>
    <t>Hardcoded plan is 38 units. The KAHF Projects schedule shows 40 at 30-Sep-2027 and 108 extended. The financial model does not state a unit count at all.</t>
  </si>
  <si>
    <t>PAM Tree — return dashboard is broken</t>
  </si>
  <si>
    <t>Two PAM Tree workbooks exist. 'PAM Tree/KAHF_PAM Tree Performance.xlsx' contains Turnstone Villas data, not PAM Tree data — its ledger shows the N$16.3m / N$18.97m Turnstone figures. 'Lithon Nkurenkuru Ext 2/KAHF_PAM Tree Performance(CHQ).xlsx' has the correct N$45m ledger but its dashboard returns a REF error and its total row mis-sums to a -33.5% IRR. Sheet 2 uses the 24% reported on Contract Parameters D31.</t>
  </si>
  <si>
    <t>Turnstone Villas — negative realised IRR</t>
  </si>
  <si>
    <t>NOTED</t>
  </si>
  <si>
    <t>The -10.6% on Sheet 2 is the workbook's own realised XIRR, which deliberately excludes the N$21.3m residual value. On a total-value basis the project returns 2.16x. Present both, or the number reads as a loss.</t>
  </si>
  <si>
    <t>Dunescape IRR includes fees</t>
  </si>
  <si>
    <t>The 36.03% is computed in the workbook over loan cash flows plus a N$7,177,927 project management fee and an N$8,508,452 NAV. The workbook notes the fund's return here is fee-based, not interest-based.</t>
  </si>
  <si>
    <t>Trial balance dates</t>
  </si>
  <si>
    <t>Two fund trial balances appear in the pack. The one inside the project performance workbooks is dated 28-02-2026 (GIPF N$151,835,312.42, comparative N$108,341,357). The one in the July-2026 interest schedule is dated 28-02-2025 and shows GIPF N$131,984,039. The N$108,341,357 and N$131,984,039 figures are both presented as 28-02-2025.</t>
  </si>
  <si>
    <t>Distributions to GIPF</t>
  </si>
  <si>
    <t>No cash distribution from KAHF to GIPF is recorded anywhere in the folder. Sheet 1 shows nil. If distributions have been paid, the evidence is outside this pack.</t>
  </si>
  <si>
    <t>Ledger reconciles to the fund register</t>
  </si>
  <si>
    <t>The register alone (Drawdowns rows 25-99, columns B:O) totals -350,998,399.28 out and +207,800,002.09 in. This model's ledger totals -368,755,917.02 and +267,283,868.44. The bridge is exact: replace the register's single -5,500,000 Lithon line with the revolving schedule's actual -10,251,686.14 / +10,887,250.93; add the post-June-2026 events the register has not yet picked up (PAM Tree -4,150,000 drawn and +34,396,615.42 repaid, Turnstone +14,000,000); and add C-Breeze (-4,389,111.14) and Tama (-4,466,720.46) with their N$100,000 upfront fees, neither of which the register carries.</t>
  </si>
  <si>
    <t>Basis of the monthly ledger</t>
  </si>
  <si>
    <t>Sheet 4 is built from the fund drawdown register (the only source with dated fund-level flows for every project), extended with post-June-2026 events from the project ledgers, the Lithon revolving schedule in place of the register's single net line, and the C-Breeze and Tama drawdown tables. One register date, '01/06/2025 - Mondesa' N$8,000,000, sits after the March-2026 entries and has been read as 01-06-2026.</t>
  </si>
  <si>
    <t>Lithon reports two different realised returns</t>
  </si>
  <si>
    <t>Historical Ledgers D110 computes a cash-only realised XIRR of 15.76%. The Return Dashboard C8 shows 16.08%, but that cell is labelled 'Effective Annual Rate (15% NACM)' — it is the coupon's effective rate, not a return measure. Independent recomputation of the dated flows gives 15.76%, confirming D110.</t>
  </si>
  <si>
    <t>Khomasdal repayments stated three ways</t>
  </si>
  <si>
    <t>Return Dashboard C4 'Sales Repayments' = N$38,821,977.50; Historical Ledgers R25 'Total Realized Distributions' = N$37,033,391; R27 = N$39,236,076.75. This model uses R25, which is the figure the dated notice register sums to. The dashboard's Money Multiple C7 (-0.406) is also sign-broken.</t>
  </si>
  <si>
    <t>KAHF Projects schedule — unit total double-counts</t>
  </si>
  <si>
    <t>In 'KAHF Projects  .xlsx', the seven project unit rows B20:B26 sum to 609, which is what B27 correctly shows. B38 'Total' reads 1,218 — exactly twice that. Do not quote 1,218.</t>
  </si>
  <si>
    <t>Dashboard sign conventions differ</t>
  </si>
  <si>
    <t>'Gross Money Paid (Outflows)' is positive on the Duma Tau dashboard (+38,910,480.75) and negative on LIH, Heavens Ark and Mossy Wood. This model normalises everything to outflow-negative.</t>
  </si>
  <si>
    <t>Valuation dates are not uniform</t>
  </si>
  <si>
    <t>Carrying values on Sheet 2 are as at: Khomasdal 28-02-26, Dunescape 28-02-26, Lithon 31-07-26, Turnstone 31-07-26, Duma Tau and LIH at close-out, and cost for Mondesa, Rocky Crest and Mango Cove. A single valuation date would need fresh valuations.</t>
  </si>
  <si>
    <t>GIPF capital account at 31 July 2026</t>
  </si>
  <si>
    <t>Movement in GIPF capital, Feb-25 to Jul-26</t>
  </si>
  <si>
    <t>Reading this sheet: The whole of section D is one quarter — Jul to Sep 2026 — and it is dominated by two repayments.</t>
  </si>
  <si>
    <t>The single most important disclosure on this page is line B (row 16).</t>
  </si>
  <si>
    <t>SHEET 1 - FUND DASHBOARD &amp; JUNE 2026 RESTATEMENT</t>
  </si>
  <si>
    <t>Every project in the Fund Model folder. Capital deployed and distributed are SUMIFS over the Ledger tab.</t>
  </si>
  <si>
    <t>Read this before the numbers go into a GIPF pack. Items marked OPEN are unresolved differences between two documents in the folder; neither has been overridden.</t>
  </si>
  <si>
    <t>C. PIPELINE PROJECTS</t>
  </si>
  <si>
    <t>Ongwediva Town Council</t>
  </si>
  <si>
    <t>Kahf Projects Update</t>
  </si>
  <si>
    <t>Karibib Town Council</t>
  </si>
  <si>
    <t>Goreangab - Waterfront</t>
  </si>
  <si>
    <t>Portion 156 Rundu (Kaisosi Ext 17)</t>
  </si>
  <si>
    <t>Karibi - Nasunga</t>
  </si>
  <si>
    <t>Universitas (Unam) Afrideca</t>
  </si>
  <si>
    <t>SHEET 5 — FUND-LEVEL CASH IRR &amp; RESIDUAL, AS AT 30 SEPTEMBER 2026</t>
  </si>
  <si>
    <t>A.  DATED FUND CASH FLOWS (LINKED TO LEDGER)</t>
  </si>
  <si>
    <t>Cash flow (N$)</t>
  </si>
  <si>
    <t>RESIDUAL — portfolio carrying value (NAV), terminal cash flow</t>
  </si>
  <si>
    <t>TOTAL (incl. residual)</t>
  </si>
  <si>
    <t>B.  CASH IRR &amp; RESIDUAL — RESULTS</t>
  </si>
  <si>
    <t>Cash IRR, inception to 30-Sep-2026 (incl. residual)</t>
  </si>
  <si>
    <t>Auas View</t>
  </si>
  <si>
    <t>Abigail</t>
  </si>
  <si>
    <t>Drawdown Register</t>
  </si>
  <si>
    <t>Control: row totals tie to Ledger row 163 and to Sheet 2 column C/D.</t>
  </si>
  <si>
    <t>PROJECT SUMMARY — TOTAL DRAWDOWNS &amp; DISTRIBUTIONS</t>
  </si>
  <si>
    <t>Total Drawdown (N$)</t>
  </si>
  <si>
    <t>Total Distribution (N$)</t>
  </si>
  <si>
    <t>Methodology: XIRR over every dated fund-level cash flow on the Ledger tab (capital deployed negative, distributions received positive), plus one terminal cash flow dated 30-Sep-2026 equal to the portfolio's carrying value (NAV) — the same 'XIRR incl. NAV' approach used per-project on Sheet 2, column L. Rebuilt to match the Ledger 1:1 after restructuring; rows below link live to Ledger!A5:C112.</t>
  </si>
  <si>
    <t>Residual / NAV excluding Khomasdal Erf 1470</t>
  </si>
  <si>
    <t>Revaluation : Profit Adjustment</t>
  </si>
  <si>
    <t>Erf 1470 Khomasdal Net</t>
  </si>
  <si>
    <t>Excluding Erf 1470 Khomasdal</t>
  </si>
  <si>
    <t>TVPI</t>
  </si>
  <si>
    <t>DPI</t>
  </si>
  <si>
    <t>MOIC</t>
  </si>
  <si>
    <t>RVPI</t>
  </si>
  <si>
    <t>Cash Available</t>
  </si>
  <si>
    <t>Total value to the fund (distributions + NAV + Cash)</t>
  </si>
  <si>
    <t>Statement of Cash Flows</t>
  </si>
  <si>
    <t>Konigstein Affordable Housing Fund</t>
  </si>
  <si>
    <t>For the 3 Months ended 31 July  2026</t>
  </si>
  <si>
    <t>Account</t>
  </si>
  <si>
    <t>3 MONTHS ENDED</t>
  </si>
  <si>
    <t>YEAR ENDED</t>
  </si>
  <si>
    <t>Operating Activities</t>
  </si>
  <si>
    <t>Payments to suppliers and employees</t>
  </si>
  <si>
    <t>Interest Received</t>
  </si>
  <si>
    <t>Net Cash Flows from Operating Activities</t>
  </si>
  <si>
    <t>Investing Activities</t>
  </si>
  <si>
    <t>Nkurenkulu Ext 2-Phase 2-Lithon</t>
  </si>
  <si>
    <t>Dunescape Villas-Swakopmund</t>
  </si>
  <si>
    <t>Turnstone</t>
  </si>
  <si>
    <t>PAM Tree</t>
  </si>
  <si>
    <t>Rocky Crest Windhoek-Blue Mont</t>
  </si>
  <si>
    <t>Block 9-Swakopmund</t>
  </si>
  <si>
    <t>Otjomuise Ext 10-Margo Cove</t>
  </si>
  <si>
    <t>Net Cash Flows from Investing Activities</t>
  </si>
  <si>
    <t>Financing Activities</t>
  </si>
  <si>
    <t>Other cash items from financing activities</t>
  </si>
  <si>
    <t>Capital Drawdowns/(Distributions)</t>
  </si>
  <si>
    <t>Net Cash Flows from Financing Activities</t>
  </si>
  <si>
    <t>Net Cash Flows</t>
  </si>
  <si>
    <t>Cash and Cash Equivalents</t>
  </si>
  <si>
    <t>Cash and cash equivalents at beginning of period</t>
  </si>
  <si>
    <t>Net change in cash for period</t>
  </si>
  <si>
    <t>Cash and cash equivalents at end of period</t>
  </si>
  <si>
    <t>Detailed Income Statement</t>
  </si>
  <si>
    <t>For the 3 Months ended 31 July 2026</t>
  </si>
  <si>
    <t>Revenue</t>
  </si>
  <si>
    <t>Block 9-CBreeze Swakopmund</t>
  </si>
  <si>
    <t>Otjomuise Ext 10-Mago Cove</t>
  </si>
  <si>
    <t>PAM TREE-Kuisebmund</t>
  </si>
  <si>
    <t>Total Revenue</t>
  </si>
  <si>
    <t>Operating Expenses</t>
  </si>
  <si>
    <t>Administrative Expenses</t>
  </si>
  <si>
    <t>Accounting Fees</t>
  </si>
  <si>
    <t>Bank Charges</t>
  </si>
  <si>
    <t>Management Fee</t>
  </si>
  <si>
    <t>Total Administrative Expenses</t>
  </si>
  <si>
    <t>Other Expenses</t>
  </si>
  <si>
    <t>Trustee Fees</t>
  </si>
  <si>
    <t>Meeting Expenses</t>
  </si>
  <si>
    <t>Consulting Fees</t>
  </si>
  <si>
    <t>Legal Fees</t>
  </si>
  <si>
    <t>Audit Fees</t>
  </si>
  <si>
    <t>NCCC Committee member Sitting fees</t>
  </si>
  <si>
    <t>Transaction Expense</t>
  </si>
  <si>
    <t>Total Other Expenses</t>
  </si>
  <si>
    <t>Profit/(Loss)from Opperating Expenses</t>
  </si>
  <si>
    <t>Finance Income</t>
  </si>
  <si>
    <t>Interest Received from Cash and Cash Equivalent</t>
  </si>
  <si>
    <t>Net Profit/ (Loss)</t>
  </si>
  <si>
    <t>Statement of Financial Position</t>
  </si>
  <si>
    <t>As at 31 July 2026</t>
  </si>
  <si>
    <t>Assets</t>
  </si>
  <si>
    <t>Net Profit</t>
  </si>
  <si>
    <t>Fixed Assets</t>
  </si>
  <si>
    <t xml:space="preserve"> Nkurenkuru Extension 2 -Phase 2</t>
  </si>
  <si>
    <t>Dunescape Villas- Mondessa Swakopmund</t>
  </si>
  <si>
    <t>Turnstone Villas-Mossy wood</t>
  </si>
  <si>
    <t>PAM TREE</t>
  </si>
  <si>
    <t>Rocky Chrest Windhoek-Blue Mont</t>
  </si>
  <si>
    <t>Block 9 - Swakopmund</t>
  </si>
  <si>
    <t>Otjomuise Ext 10 - Margo Cove</t>
  </si>
  <si>
    <t>Total Fixed Assets</t>
  </si>
  <si>
    <t>Current Assets</t>
  </si>
  <si>
    <t>Cash and Cash Equivalent</t>
  </si>
  <si>
    <t>Accounts Receivable</t>
  </si>
  <si>
    <t>Total Current Assets</t>
  </si>
  <si>
    <t>Total Assets</t>
  </si>
  <si>
    <t>Equity</t>
  </si>
  <si>
    <t>Capital Account: GIPF</t>
  </si>
  <si>
    <t>Capital Account: Konigstein Capital</t>
  </si>
  <si>
    <t>Current Year Earnings</t>
  </si>
  <si>
    <t xml:space="preserve">Retained Income </t>
  </si>
  <si>
    <t>Total Equity+ Liability</t>
  </si>
  <si>
    <t>Liabilities</t>
  </si>
  <si>
    <t>Accounts Payable</t>
  </si>
  <si>
    <t>Total Current Liabilities</t>
  </si>
  <si>
    <t>Net Assets</t>
  </si>
  <si>
    <t>Source: Konigstein Affordable Housing Fund - Balance Sheet as at 31 July 2026 (uploaded file), uploaded 7 September 2026</t>
  </si>
  <si>
    <t xml:space="preserve">Completed </t>
  </si>
  <si>
    <t xml:space="preserve">Active </t>
  </si>
  <si>
    <t>D.  PORTFOLIO SHAPE AT THE REPORTING DATE</t>
  </si>
  <si>
    <t xml:space="preserve">Damask Dunescape Villas </t>
  </si>
  <si>
    <t>Aromatic Fresh Notes Investments Pty Ltd - Erf 1470 Khomasdal</t>
  </si>
  <si>
    <t>PAM Tree Investment Pty Ltd - Kuisebmund  Erf 5758</t>
  </si>
  <si>
    <t xml:space="preserve">Mossy Wood Notes Investments-  Turnstone Villas </t>
  </si>
  <si>
    <t>Lithon Developers - Nkurenkuru Ext 2</t>
  </si>
  <si>
    <t>Damask- Mondesa Palms</t>
  </si>
  <si>
    <t>Blue Mont Pty Ltd The Ridge</t>
  </si>
  <si>
    <t>Mango Cove -  Otjomuise Ext 10</t>
  </si>
  <si>
    <t>Block 9 - C-Breeze Heights</t>
  </si>
  <si>
    <t>Block 9- Tama Estates</t>
  </si>
  <si>
    <t>LIH- Nkurenkuru Ph 1</t>
  </si>
  <si>
    <t>NIC - Otjomuise Ext 10</t>
  </si>
  <si>
    <t>MPG _ Heaven's Ark — Otjomuise Lifestyle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</si>
</sst>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#,##0;\(#,##0\);\-"/>
    <numFmt numFmtId="165" formatCode="0.00\x"/>
    <numFmt numFmtId="166" formatCode="0.0%;\(0.0%\);\-"/>
    <numFmt numFmtId="167" formatCode="0.00%;\(0.00%\);\-"/>
    <numFmt numFmtId="168" formatCode="d\-mmm\-yy"/>
    <numFmt numFmtId="169" formatCode="[$]d&quot; &quot;mmm&quot; &quot;yyyy;@" x16r2:formatCode16="[$-en-NA,1]d&quot; &quot;mmm&quot; &quot;yyyy;@"/>
    <numFmt numFmtId="170" formatCode="#,##0.00;&quot;(&quot;#,##0.00&quot;)&quot;"/>
    <numFmt numFmtId="171" formatCode="#,##0;&quot;(&quot;#,##0&quot;)&quot;"/>
    <numFmt numFmtId="172" formatCode="#,##0.00;&quot;(&quot;#,##0.00&quot;)&quot;;&quot;-&quot;"/>
    <numFmt numFmtId="173" formatCode="dd&quot; &quot;mmm&quot; &quot;yyyy"/>
  </numFmts>
  <fonts count="3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Arial"/>
      <family val="2"/>
    </font>
    <font>
      <i/>
      <sz val="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8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10"/>
      <color rgb="FFC00000"/>
      <name val="Arial"/>
      <family val="2"/>
    </font>
    <font>
      <b/>
      <sz val="14"/>
      <color rgb="FF1F3864"/>
      <name val="Arial"/>
      <family val="2"/>
    </font>
    <font>
      <i/>
      <sz val="9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i/>
      <sz val="8"/>
      <color rgb="FF000000"/>
      <name val="Arial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B4C6E7"/>
      </patternFill>
    </fill>
    <fill>
      <patternFill patternType="solid">
        <fgColor rgb="FFF2F6FC"/>
        <bgColor rgb="FFFFFFFF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1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EBEBEB"/>
      </top>
      <bottom style="thin">
        <color rgb="FFEBEBEB"/>
      </bottom>
      <diagonal/>
    </border>
    <border>
      <left/>
      <right/>
      <top style="thin">
        <color rgb="FF000000"/>
      </top>
      <bottom style="thin">
        <color rgb="FFEBEBEB"/>
      </bottom>
      <diagonal/>
    </border>
    <border>
      <left/>
      <right/>
      <top style="thin">
        <color rgb="FFEBEBEB"/>
      </top>
      <bottom style="thin">
        <color rgb="FF000000"/>
      </bottom>
      <diagonal/>
    </border>
    <border>
      <left/>
      <right/>
      <top/>
      <bottom style="thin">
        <color rgb="FFEBEBEB"/>
      </bottom>
      <diagonal/>
    </border>
  </borders>
  <cellStyleXfs count="4">
    <xf numFmtId="0" fontId="0" fillId="0" borderId="0"/>
    <xf numFmtId="43" fontId="1" fillId="0" borderId="0" applyBorder="0" applyAlignment="0" applyProtection="0"/>
    <xf numFmtId="9" fontId="1" fillId="0" borderId="0" applyBorder="0" applyAlignment="0" applyProtection="0"/>
    <xf numFmtId="0" fontId="23" fillId="0" borderId="0"/>
  </cellStyleXfs>
  <cellXfs count="14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4" fontId="6" fillId="0" borderId="1" xfId="0" applyNumberFormat="1" applyFont="1" applyBorder="1"/>
    <xf numFmtId="0" fontId="7" fillId="0" borderId="0" xfId="0" applyFont="1"/>
    <xf numFmtId="164" fontId="5" fillId="0" borderId="1" xfId="0" applyNumberFormat="1" applyFont="1" applyBorder="1"/>
    <xf numFmtId="164" fontId="8" fillId="0" borderId="1" xfId="0" applyNumberFormat="1" applyFont="1" applyBorder="1"/>
    <xf numFmtId="165" fontId="5" fillId="0" borderId="1" xfId="0" applyNumberFormat="1" applyFont="1" applyBorder="1"/>
    <xf numFmtId="165" fontId="8" fillId="0" borderId="1" xfId="0" applyNumberFormat="1" applyFont="1" applyBorder="1"/>
    <xf numFmtId="1" fontId="5" fillId="0" borderId="1" xfId="0" applyNumberFormat="1" applyFont="1" applyBorder="1"/>
    <xf numFmtId="3" fontId="8" fillId="0" borderId="1" xfId="0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6" fontId="6" fillId="0" borderId="1" xfId="0" applyNumberFormat="1" applyFont="1" applyBorder="1"/>
    <xf numFmtId="0" fontId="7" fillId="0" borderId="1" xfId="0" applyFont="1" applyBorder="1" applyAlignment="1">
      <alignment vertical="top" wrapText="1"/>
    </xf>
    <xf numFmtId="166" fontId="5" fillId="0" borderId="1" xfId="0" applyNumberFormat="1" applyFont="1" applyBorder="1"/>
    <xf numFmtId="0" fontId="9" fillId="3" borderId="0" xfId="0" applyFont="1" applyFill="1"/>
    <xf numFmtId="0" fontId="0" fillId="3" borderId="0" xfId="0" applyFill="1"/>
    <xf numFmtId="164" fontId="9" fillId="3" borderId="0" xfId="0" applyNumberFormat="1" applyFont="1" applyFill="1"/>
    <xf numFmtId="165" fontId="9" fillId="3" borderId="0" xfId="0" applyNumberFormat="1" applyFont="1" applyFill="1"/>
    <xf numFmtId="0" fontId="5" fillId="0" borderId="1" xfId="0" applyFont="1" applyBorder="1" applyAlignment="1">
      <alignment vertical="top" wrapText="1"/>
    </xf>
    <xf numFmtId="0" fontId="6" fillId="0" borderId="1" xfId="0" applyFont="1" applyBorder="1"/>
    <xf numFmtId="0" fontId="0" fillId="0" borderId="1" xfId="0" applyBorder="1"/>
    <xf numFmtId="9" fontId="0" fillId="0" borderId="1" xfId="0" applyNumberFormat="1" applyBorder="1"/>
    <xf numFmtId="9" fontId="6" fillId="0" borderId="1" xfId="0" applyNumberFormat="1" applyFont="1" applyBorder="1"/>
    <xf numFmtId="0" fontId="8" fillId="0" borderId="1" xfId="0" applyFont="1" applyBorder="1"/>
    <xf numFmtId="9" fontId="8" fillId="0" borderId="1" xfId="0" applyNumberFormat="1" applyFont="1" applyBorder="1"/>
    <xf numFmtId="0" fontId="9" fillId="4" borderId="0" xfId="0" applyFont="1" applyFill="1"/>
    <xf numFmtId="0" fontId="0" fillId="4" borderId="0" xfId="0" applyFill="1"/>
    <xf numFmtId="17" fontId="5" fillId="5" borderId="0" xfId="0" applyNumberFormat="1" applyFont="1" applyFill="1"/>
    <xf numFmtId="164" fontId="5" fillId="5" borderId="1" xfId="0" applyNumberFormat="1" applyFont="1" applyFill="1" applyBorder="1"/>
    <xf numFmtId="17" fontId="5" fillId="0" borderId="0" xfId="0" applyNumberFormat="1" applyFont="1"/>
    <xf numFmtId="0" fontId="4" fillId="2" borderId="0" xfId="0" applyFont="1" applyFill="1" applyAlignment="1">
      <alignment horizontal="center" wrapText="1"/>
    </xf>
    <xf numFmtId="15" fontId="5" fillId="0" borderId="0" xfId="0" applyNumberFormat="1" applyFont="1"/>
    <xf numFmtId="0" fontId="5" fillId="0" borderId="0" xfId="0" applyFont="1"/>
    <xf numFmtId="164" fontId="6" fillId="0" borderId="0" xfId="0" applyNumberFormat="1" applyFont="1"/>
    <xf numFmtId="164" fontId="5" fillId="0" borderId="0" xfId="0" applyNumberFormat="1" applyFont="1"/>
    <xf numFmtId="0" fontId="9" fillId="0" borderId="1" xfId="0" applyFont="1" applyBorder="1" applyAlignment="1">
      <alignment vertical="top" wrapText="1"/>
    </xf>
    <xf numFmtId="0" fontId="10" fillId="0" borderId="1" xfId="0" applyFont="1" applyBorder="1"/>
    <xf numFmtId="0" fontId="11" fillId="0" borderId="1" xfId="0" applyFont="1" applyBorder="1"/>
    <xf numFmtId="0" fontId="5" fillId="0" borderId="2" xfId="0" applyFont="1" applyBorder="1" applyAlignment="1">
      <alignment vertical="top" wrapText="1"/>
    </xf>
    <xf numFmtId="0" fontId="8" fillId="0" borderId="2" xfId="0" applyFont="1" applyBorder="1"/>
    <xf numFmtId="0" fontId="5" fillId="0" borderId="2" xfId="0" applyFont="1" applyBorder="1"/>
    <xf numFmtId="167" fontId="8" fillId="0" borderId="1" xfId="0" applyNumberFormat="1" applyFont="1" applyBorder="1"/>
    <xf numFmtId="0" fontId="12" fillId="0" borderId="0" xfId="0" applyFont="1"/>
    <xf numFmtId="0" fontId="13" fillId="0" borderId="0" xfId="0" applyFont="1"/>
    <xf numFmtId="0" fontId="14" fillId="6" borderId="0" xfId="0" applyFont="1" applyFill="1"/>
    <xf numFmtId="0" fontId="0" fillId="6" borderId="0" xfId="0" applyFill="1"/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168" fontId="17" fillId="0" borderId="0" xfId="0" applyNumberFormat="1" applyFont="1"/>
    <xf numFmtId="164" fontId="17" fillId="0" borderId="0" xfId="0" applyNumberFormat="1" applyFont="1"/>
    <xf numFmtId="0" fontId="16" fillId="7" borderId="0" xfId="0" applyFont="1" applyFill="1"/>
    <xf numFmtId="164" fontId="16" fillId="7" borderId="0" xfId="0" applyNumberFormat="1" applyFont="1" applyFill="1"/>
    <xf numFmtId="0" fontId="16" fillId="8" borderId="0" xfId="0" applyFont="1" applyFill="1"/>
    <xf numFmtId="166" fontId="15" fillId="0" borderId="0" xfId="0" applyNumberFormat="1" applyFont="1"/>
    <xf numFmtId="164" fontId="15" fillId="0" borderId="0" xfId="0" applyNumberFormat="1" applyFont="1"/>
    <xf numFmtId="165" fontId="15" fillId="0" borderId="0" xfId="0" applyNumberFormat="1" applyFont="1"/>
    <xf numFmtId="164" fontId="0" fillId="0" borderId="0" xfId="0" applyNumberFormat="1"/>
    <xf numFmtId="17" fontId="20" fillId="0" borderId="0" xfId="0" applyNumberFormat="1" applyFont="1"/>
    <xf numFmtId="0" fontId="20" fillId="0" borderId="0" xfId="0" applyFont="1"/>
    <xf numFmtId="43" fontId="1" fillId="0" borderId="0" xfId="1"/>
    <xf numFmtId="164" fontId="18" fillId="0" borderId="0" xfId="0" applyNumberFormat="1" applyFont="1"/>
    <xf numFmtId="164" fontId="20" fillId="0" borderId="0" xfId="0" applyNumberFormat="1" applyFont="1"/>
    <xf numFmtId="168" fontId="15" fillId="0" borderId="0" xfId="0" applyNumberFormat="1" applyFont="1"/>
    <xf numFmtId="164" fontId="20" fillId="0" borderId="0" xfId="1" applyNumberFormat="1" applyFont="1"/>
    <xf numFmtId="0" fontId="21" fillId="0" borderId="0" xfId="0" applyFont="1"/>
    <xf numFmtId="0" fontId="22" fillId="0" borderId="0" xfId="0" applyFont="1"/>
    <xf numFmtId="164" fontId="16" fillId="0" borderId="0" xfId="0" applyNumberFormat="1" applyFont="1"/>
    <xf numFmtId="164" fontId="22" fillId="0" borderId="0" xfId="0" applyNumberFormat="1" applyFont="1"/>
    <xf numFmtId="17" fontId="20" fillId="5" borderId="0" xfId="0" applyNumberFormat="1" applyFont="1" applyFill="1"/>
    <xf numFmtId="10" fontId="1" fillId="0" borderId="0" xfId="2" applyNumberFormat="1"/>
    <xf numFmtId="167" fontId="19" fillId="8" borderId="0" xfId="0" applyNumberFormat="1" applyFont="1" applyFill="1"/>
    <xf numFmtId="0" fontId="24" fillId="0" borderId="0" xfId="3" applyFont="1" applyAlignment="1">
      <alignment vertical="center"/>
    </xf>
    <xf numFmtId="0" fontId="25" fillId="0" borderId="0" xfId="3" applyFont="1"/>
    <xf numFmtId="0" fontId="26" fillId="0" borderId="0" xfId="3" applyFont="1" applyAlignment="1">
      <alignment vertical="center"/>
    </xf>
    <xf numFmtId="0" fontId="26" fillId="0" borderId="0" xfId="3" applyFont="1"/>
    <xf numFmtId="0" fontId="23" fillId="0" borderId="0" xfId="3"/>
    <xf numFmtId="0" fontId="27" fillId="0" borderId="3" xfId="3" applyFont="1" applyBorder="1" applyAlignment="1">
      <alignment horizontal="left" vertical="center"/>
    </xf>
    <xf numFmtId="0" fontId="28" fillId="0" borderId="3" xfId="3" applyFont="1" applyBorder="1" applyAlignment="1">
      <alignment horizontal="right" vertical="center"/>
    </xf>
    <xf numFmtId="0" fontId="29" fillId="0" borderId="0" xfId="3" applyFont="1"/>
    <xf numFmtId="169" fontId="28" fillId="0" borderId="0" xfId="3" applyNumberFormat="1" applyFont="1" applyAlignment="1">
      <alignment horizontal="right" vertical="center"/>
    </xf>
    <xf numFmtId="0" fontId="27" fillId="9" borderId="0" xfId="3" applyFont="1" applyFill="1"/>
    <xf numFmtId="0" fontId="23" fillId="9" borderId="4" xfId="3" applyFill="1" applyBorder="1"/>
    <xf numFmtId="0" fontId="23" fillId="9" borderId="5" xfId="3" applyFill="1" applyBorder="1"/>
    <xf numFmtId="170" fontId="23" fillId="9" borderId="0" xfId="3" applyNumberFormat="1" applyFill="1" applyAlignment="1">
      <alignment horizontal="right"/>
    </xf>
    <xf numFmtId="0" fontId="23" fillId="9" borderId="0" xfId="3" applyFill="1"/>
    <xf numFmtId="171" fontId="23" fillId="0" borderId="0" xfId="3" applyNumberFormat="1"/>
    <xf numFmtId="0" fontId="28" fillId="9" borderId="6" xfId="3" applyFont="1" applyFill="1" applyBorder="1"/>
    <xf numFmtId="170" fontId="28" fillId="9" borderId="6" xfId="3" applyNumberFormat="1" applyFont="1" applyFill="1" applyBorder="1" applyAlignment="1">
      <alignment horizontal="right"/>
    </xf>
    <xf numFmtId="170" fontId="27" fillId="9" borderId="0" xfId="3" applyNumberFormat="1" applyFont="1" applyFill="1" applyAlignment="1">
      <alignment horizontal="right"/>
    </xf>
    <xf numFmtId="170" fontId="23" fillId="9" borderId="5" xfId="3" applyNumberFormat="1" applyFill="1" applyBorder="1" applyAlignment="1">
      <alignment horizontal="right"/>
    </xf>
    <xf numFmtId="0" fontId="23" fillId="9" borderId="6" xfId="3" applyFill="1" applyBorder="1"/>
    <xf numFmtId="170" fontId="23" fillId="9" borderId="6" xfId="3" applyNumberFormat="1" applyFill="1" applyBorder="1" applyAlignment="1">
      <alignment horizontal="right"/>
    </xf>
    <xf numFmtId="0" fontId="23" fillId="0" borderId="6" xfId="3" applyBorder="1" applyAlignment="1">
      <alignment vertical="center"/>
    </xf>
    <xf numFmtId="170" fontId="23" fillId="0" borderId="0" xfId="3" applyNumberFormat="1"/>
    <xf numFmtId="0" fontId="28" fillId="10" borderId="4" xfId="3" applyFont="1" applyFill="1" applyBorder="1"/>
    <xf numFmtId="170" fontId="28" fillId="10" borderId="4" xfId="3" applyNumberFormat="1" applyFont="1" applyFill="1" applyBorder="1" applyAlignment="1">
      <alignment horizontal="right"/>
    </xf>
    <xf numFmtId="170" fontId="28" fillId="9" borderId="5" xfId="3" applyNumberFormat="1" applyFont="1" applyFill="1" applyBorder="1" applyAlignment="1">
      <alignment horizontal="right"/>
    </xf>
    <xf numFmtId="0" fontId="23" fillId="9" borderId="7" xfId="3" applyFill="1" applyBorder="1"/>
    <xf numFmtId="170" fontId="23" fillId="9" borderId="7" xfId="3" applyNumberFormat="1" applyFill="1" applyBorder="1" applyAlignment="1">
      <alignment horizontal="right"/>
    </xf>
    <xf numFmtId="170" fontId="28" fillId="9" borderId="0" xfId="3" applyNumberFormat="1" applyFont="1" applyFill="1" applyAlignment="1">
      <alignment horizontal="right"/>
    </xf>
    <xf numFmtId="0" fontId="24" fillId="9" borderId="0" xfId="3" applyFont="1" applyFill="1"/>
    <xf numFmtId="0" fontId="26" fillId="9" borderId="0" xfId="3" applyFont="1" applyFill="1"/>
    <xf numFmtId="0" fontId="27" fillId="9" borderId="0" xfId="3" applyFont="1" applyFill="1" applyAlignment="1">
      <alignment horizontal="right"/>
    </xf>
    <xf numFmtId="169" fontId="28" fillId="9" borderId="5" xfId="3" applyNumberFormat="1" applyFont="1" applyFill="1" applyBorder="1" applyAlignment="1">
      <alignment horizontal="right"/>
    </xf>
    <xf numFmtId="0" fontId="23" fillId="9" borderId="8" xfId="3" applyFill="1" applyBorder="1"/>
    <xf numFmtId="172" fontId="23" fillId="9" borderId="8" xfId="3" applyNumberFormat="1" applyFill="1" applyBorder="1" applyAlignment="1">
      <alignment horizontal="right"/>
    </xf>
    <xf numFmtId="172" fontId="23" fillId="9" borderId="7" xfId="3" applyNumberFormat="1" applyFill="1" applyBorder="1" applyAlignment="1">
      <alignment horizontal="right"/>
    </xf>
    <xf numFmtId="0" fontId="23" fillId="9" borderId="9" xfId="3" applyFill="1" applyBorder="1"/>
    <xf numFmtId="172" fontId="23" fillId="9" borderId="9" xfId="3" applyNumberFormat="1" applyFill="1" applyBorder="1" applyAlignment="1">
      <alignment horizontal="right"/>
    </xf>
    <xf numFmtId="0" fontId="28" fillId="9" borderId="3" xfId="3" applyFont="1" applyFill="1" applyBorder="1"/>
    <xf numFmtId="172" fontId="28" fillId="9" borderId="3" xfId="3" applyNumberFormat="1" applyFont="1" applyFill="1" applyBorder="1" applyAlignment="1">
      <alignment horizontal="right"/>
    </xf>
    <xf numFmtId="0" fontId="23" fillId="9" borderId="0" xfId="3" applyFill="1" applyAlignment="1">
      <alignment horizontal="right"/>
    </xf>
    <xf numFmtId="0" fontId="28" fillId="9" borderId="5" xfId="3" applyFont="1" applyFill="1" applyBorder="1"/>
    <xf numFmtId="0" fontId="28" fillId="9" borderId="5" xfId="3" applyFont="1" applyFill="1" applyBorder="1" applyAlignment="1">
      <alignment horizontal="right"/>
    </xf>
    <xf numFmtId="0" fontId="27" fillId="10" borderId="4" xfId="3" applyFont="1" applyFill="1" applyBorder="1"/>
    <xf numFmtId="172" fontId="27" fillId="10" borderId="4" xfId="3" applyNumberFormat="1" applyFont="1" applyFill="1" applyBorder="1" applyAlignment="1">
      <alignment horizontal="right"/>
    </xf>
    <xf numFmtId="172" fontId="23" fillId="9" borderId="5" xfId="3" applyNumberFormat="1" applyFill="1" applyBorder="1" applyAlignment="1">
      <alignment horizontal="right"/>
    </xf>
    <xf numFmtId="0" fontId="24" fillId="0" borderId="0" xfId="3" applyFont="1"/>
    <xf numFmtId="0" fontId="23" fillId="0" borderId="3" xfId="3" applyBorder="1"/>
    <xf numFmtId="0" fontId="27" fillId="0" borderId="3" xfId="3" applyFont="1" applyBorder="1" applyAlignment="1">
      <alignment horizontal="left"/>
    </xf>
    <xf numFmtId="173" fontId="27" fillId="0" borderId="3" xfId="3" applyNumberFormat="1" applyFont="1" applyBorder="1" applyAlignment="1">
      <alignment horizontal="right"/>
    </xf>
    <xf numFmtId="0" fontId="27" fillId="0" borderId="3" xfId="3" applyFont="1" applyBorder="1"/>
    <xf numFmtId="0" fontId="28" fillId="0" borderId="0" xfId="3" applyFont="1"/>
    <xf numFmtId="171" fontId="23" fillId="0" borderId="10" xfId="3" applyNumberFormat="1" applyBorder="1" applyAlignment="1">
      <alignment horizontal="right"/>
    </xf>
    <xf numFmtId="171" fontId="23" fillId="0" borderId="7" xfId="3" applyNumberFormat="1" applyBorder="1" applyAlignment="1">
      <alignment horizontal="right"/>
    </xf>
    <xf numFmtId="41" fontId="23" fillId="0" borderId="7" xfId="3" applyNumberFormat="1" applyBorder="1" applyAlignment="1">
      <alignment horizontal="right"/>
    </xf>
    <xf numFmtId="0" fontId="27" fillId="0" borderId="0" xfId="3" applyFont="1"/>
    <xf numFmtId="171" fontId="28" fillId="0" borderId="4" xfId="3" applyNumberFormat="1" applyFont="1" applyBorder="1" applyAlignment="1">
      <alignment horizontal="right"/>
    </xf>
    <xf numFmtId="171" fontId="23" fillId="0" borderId="6" xfId="3" applyNumberFormat="1" applyBorder="1" applyAlignment="1">
      <alignment horizontal="right"/>
    </xf>
    <xf numFmtId="41" fontId="23" fillId="0" borderId="6" xfId="3" applyNumberFormat="1" applyBorder="1" applyAlignment="1">
      <alignment horizontal="right"/>
    </xf>
    <xf numFmtId="171" fontId="28" fillId="0" borderId="5" xfId="3" applyNumberFormat="1" applyFont="1" applyBorder="1" applyAlignment="1">
      <alignment horizontal="right"/>
    </xf>
    <xf numFmtId="0" fontId="30" fillId="0" borderId="0" xfId="3" applyFont="1"/>
    <xf numFmtId="171" fontId="30" fillId="0" borderId="4" xfId="3" applyNumberFormat="1" applyFont="1" applyBorder="1" applyAlignment="1">
      <alignment horizontal="right"/>
    </xf>
    <xf numFmtId="171" fontId="23" fillId="0" borderId="8" xfId="3" applyNumberFormat="1" applyBorder="1" applyAlignment="1">
      <alignment horizontal="right"/>
    </xf>
    <xf numFmtId="41" fontId="23" fillId="0" borderId="8" xfId="3" applyNumberFormat="1" applyBorder="1" applyAlignment="1">
      <alignment horizontal="right"/>
    </xf>
    <xf numFmtId="41" fontId="28" fillId="0" borderId="5" xfId="3" applyNumberFormat="1" applyFont="1" applyBorder="1" applyAlignment="1">
      <alignment horizontal="right"/>
    </xf>
    <xf numFmtId="0" fontId="31" fillId="0" borderId="0" xfId="3" applyFont="1"/>
    <xf numFmtId="0" fontId="0" fillId="6" borderId="0" xfId="0" applyFill="1"/>
    <xf numFmtId="0" fontId="1" fillId="0" borderId="0" xfId="0" applyFont="1"/>
    <xf numFmtId="164" fontId="1" fillId="0" borderId="0" xfId="0" applyNumberFormat="1" applyFont="1" applyFill="1"/>
    <xf numFmtId="164" fontId="1" fillId="0" borderId="0" xfId="0" applyNumberFormat="1" applyFont="1"/>
    <xf numFmtId="17" fontId="1" fillId="0" borderId="0" xfId="0" applyNumberFormat="1" applyFont="1"/>
  </cellXfs>
  <cellStyles count="4">
    <cellStyle name="Comma" xfId="1" builtinId="3"/>
    <cellStyle name="Normal" xfId="0" builtinId="0"/>
    <cellStyle name="Normal 2" xfId="3" xr:uid="{8D484E52-5302-4AFD-83F7-DA7548C8823F}"/>
    <cellStyle name="Percent" xfId="2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,##0;\(#,##0\);\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d\-mmm\-yy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6F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'2. Project Performance'!$D$5:$D$18</c:f>
              <c:numCache>
                <c:formatCode>#,##0;\(#,##0\);\-</c:formatCode>
                <c:ptCount val="14"/>
                <c:pt idx="0">
                  <c:v>37033391.079999998</c:v>
                </c:pt>
                <c:pt idx="1">
                  <c:v>24000000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42507267.899999999</c:v>
                </c:pt>
                <c:pt idx="11">
                  <c:v>21306075.5</c:v>
                </c:pt>
                <c:pt idx="12">
                  <c:v>7353424.4900000002</c:v>
                </c:pt>
                <c:pt idx="13">
                  <c:v>75599843.120000005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D-4ADD-84BE-08E35D36F0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'2. Project Performance'!$F$5:$F$18</c:f>
              <c:numCache>
                <c:formatCode>#,##0;\(#,##0\);\-</c:formatCode>
                <c:ptCount val="14"/>
                <c:pt idx="0">
                  <c:v>63500000</c:v>
                </c:pt>
                <c:pt idx="1">
                  <c:v>39000000</c:v>
                </c:pt>
                <c:pt idx="2">
                  <c:v>45000000</c:v>
                </c:pt>
                <c:pt idx="3">
                  <c:v>16300000</c:v>
                </c:pt>
                <c:pt idx="4">
                  <c:v>5500000</c:v>
                </c:pt>
                <c:pt idx="5">
                  <c:v>28000000</c:v>
                </c:pt>
                <c:pt idx="6">
                  <c:v>30000000</c:v>
                </c:pt>
                <c:pt idx="7">
                  <c:v>20000000</c:v>
                </c:pt>
                <c:pt idx="8">
                  <c:v>5000000</c:v>
                </c:pt>
                <c:pt idx="9">
                  <c:v>11000000</c:v>
                </c:pt>
                <c:pt idx="10">
                  <c:v>28000000</c:v>
                </c:pt>
                <c:pt idx="11">
                  <c:v>18000000</c:v>
                </c:pt>
                <c:pt idx="12">
                  <c:v>7000000</c:v>
                </c:pt>
                <c:pt idx="13">
                  <c:v>65000000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2D-4ADD-84BE-08E35D36F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3957552"/>
        <c:axId val="1143098448"/>
      </c:barChart>
      <c:catAx>
        <c:axId val="118395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A"/>
          </a:p>
        </c:txPr>
        <c:crossAx val="1143098448"/>
        <c:crosses val="autoZero"/>
        <c:auto val="1"/>
        <c:lblAlgn val="ctr"/>
        <c:lblOffset val="100"/>
        <c:noMultiLvlLbl val="0"/>
      </c:catAx>
      <c:valAx>
        <c:axId val="11430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A"/>
          </a:p>
        </c:txPr>
        <c:crossAx val="118395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4894729</xdr:colOff>
      <xdr:row>0</xdr:row>
      <xdr:rowOff>179294</xdr:rowOff>
    </xdr:from>
    <xdr:to>
      <xdr:col>23</xdr:col>
      <xdr:colOff>161364</xdr:colOff>
      <xdr:row>10</xdr:row>
      <xdr:rowOff>224117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3BEF8-2BD6-C501-1D03-A7E6D7238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45D919-B1B2-4FDF-B950-9727D6F2E18A}" name="Table1" displayName="Table1" ref="A4:G109" totalsRowCount="1" headerRowDxfId="14">
  <autoFilter ref="A4:G108" xr:uid="{2745D919-B1B2-4FDF-B950-9727D6F2E18A}"/>
  <tableColumns count="7">
    <tableColumn id="1" xr3:uid="{1CC3A698-EDA3-4671-B907-22AA32065BD2}" name="Date" dataDxfId="13" totalsRowDxfId="4"/>
    <tableColumn id="2" xr3:uid="{A235E874-F2C8-4F6D-B44C-A2C2D5DC77F3}" name="Project" dataDxfId="12" totalsRowDxfId="11"/>
    <tableColumn id="3" xr3:uid="{BD5A1FAA-F155-4713-8E06-0C317B10A3D0}" name="Amount (N$)" dataDxfId="10" totalsRowDxfId="3"/>
    <tableColumn id="4" xr3:uid="{8BA57056-D260-4F3C-8D82-76DBDF26EFF1}" name="Drawdown (N$)" totalsRowFunction="sum" dataDxfId="9" totalsRowDxfId="0" dataCellStyle="Comma">
      <calculatedColumnFormula>IF(C5&lt;0,C5,0)</calculatedColumnFormula>
    </tableColumn>
    <tableColumn id="5" xr3:uid="{E86CBD51-5855-4402-8499-73E7044F5C14}" name="Distribution (N$)" totalsRowFunction="sum" dataDxfId="8" totalsRowDxfId="2">
      <calculatedColumnFormula>IF(C5&gt;0,C5,0)</calculatedColumnFormula>
    </tableColumn>
    <tableColumn id="6" xr3:uid="{78EFF85F-09AE-43AA-B662-93DD05540FD6}" name="Month key" dataDxfId="7" totalsRowDxfId="1">
      <calculatedColumnFormula>DATE(YEAR(A5),MONTH(A5),1)</calculatedColumnFormula>
    </tableColumn>
    <tableColumn id="7" xr3:uid="{A9E613AA-2076-45AD-A76E-C933EA14771C}" name="Source workbook / tab" dataDxfId="6" totalsRow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922B3D-31BE-405F-B003-FFFDE3CDC08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ba616b9-4809-4d71-b415-e59d50092e3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"/>
  <sheetViews>
    <sheetView topLeftCell="A12" zoomScaleNormal="100" workbookViewId="0">
      <selection activeCell="A22" sqref="A22:B30"/>
    </sheetView>
  </sheetViews>
  <sheetFormatPr defaultColWidth="8.6640625" defaultRowHeight="14.4" x14ac:dyDescent="0.3"/>
  <cols>
    <col min="1" max="1" width="54" customWidth="1"/>
    <col min="2" max="4" width="20" customWidth="1"/>
    <col min="5" max="5" width="4" customWidth="1"/>
    <col min="6" max="6" width="96" customWidth="1"/>
  </cols>
  <sheetData>
    <row r="1" spans="1:6" ht="17.399999999999999" x14ac:dyDescent="0.3">
      <c r="A1" s="1" t="s">
        <v>227</v>
      </c>
    </row>
    <row r="2" spans="1:6" x14ac:dyDescent="0.3">
      <c r="A2" s="2" t="s">
        <v>0</v>
      </c>
    </row>
    <row r="4" spans="1:6" x14ac:dyDescent="0.3">
      <c r="A4" s="3" t="s">
        <v>1</v>
      </c>
      <c r="B4" s="4"/>
      <c r="C4" s="4"/>
      <c r="D4" s="4"/>
    </row>
    <row r="5" spans="1:6" x14ac:dyDescent="0.3">
      <c r="A5" s="5" t="s">
        <v>2</v>
      </c>
      <c r="B5" s="6">
        <v>446420000</v>
      </c>
      <c r="F5" s="7" t="s">
        <v>3</v>
      </c>
    </row>
    <row r="6" spans="1:6" x14ac:dyDescent="0.3">
      <c r="A6" s="5" t="s">
        <v>223</v>
      </c>
      <c r="B6" s="6">
        <v>188072936</v>
      </c>
      <c r="F6" s="7" t="s">
        <v>4</v>
      </c>
    </row>
    <row r="7" spans="1:6" x14ac:dyDescent="0.3">
      <c r="A7" s="5" t="s">
        <v>5</v>
      </c>
      <c r="B7" s="6">
        <v>108341357</v>
      </c>
      <c r="F7" s="7" t="s">
        <v>6</v>
      </c>
    </row>
    <row r="8" spans="1:6" x14ac:dyDescent="0.3">
      <c r="A8" s="5" t="s">
        <v>7</v>
      </c>
      <c r="B8" s="6">
        <v>1518374</v>
      </c>
      <c r="F8" s="7" t="s">
        <v>8</v>
      </c>
    </row>
    <row r="9" spans="1:6" x14ac:dyDescent="0.3">
      <c r="A9" s="5" t="s">
        <v>224</v>
      </c>
      <c r="B9" s="8">
        <f>B6-B7</f>
        <v>79731579</v>
      </c>
      <c r="F9" s="7" t="s">
        <v>9</v>
      </c>
    </row>
    <row r="10" spans="1:6" x14ac:dyDescent="0.3">
      <c r="A10" s="5" t="s">
        <v>10</v>
      </c>
      <c r="B10" s="6">
        <v>251902599.94</v>
      </c>
      <c r="F10" s="7" t="s">
        <v>11</v>
      </c>
    </row>
    <row r="11" spans="1:6" x14ac:dyDescent="0.3">
      <c r="A11" s="5" t="s">
        <v>12</v>
      </c>
      <c r="B11" s="6">
        <v>46051257.450000003</v>
      </c>
      <c r="F11" s="7" t="s">
        <v>13</v>
      </c>
    </row>
    <row r="12" spans="1:6" x14ac:dyDescent="0.3">
      <c r="A12" s="5" t="s">
        <v>14</v>
      </c>
      <c r="B12" s="6">
        <v>2748719.45</v>
      </c>
      <c r="F12" s="7" t="s">
        <v>15</v>
      </c>
    </row>
    <row r="14" spans="1:6" x14ac:dyDescent="0.3">
      <c r="A14" s="3" t="s">
        <v>16</v>
      </c>
      <c r="B14" s="4"/>
      <c r="C14" s="4"/>
      <c r="D14" s="4"/>
    </row>
    <row r="15" spans="1:6" x14ac:dyDescent="0.3">
      <c r="A15" s="5" t="s">
        <v>17</v>
      </c>
      <c r="B15" s="6">
        <v>0</v>
      </c>
      <c r="F15" s="7" t="s">
        <v>18</v>
      </c>
    </row>
    <row r="16" spans="1:6" x14ac:dyDescent="0.3">
      <c r="A16" s="5" t="s">
        <v>19</v>
      </c>
      <c r="B16" s="9">
        <f>'2. Project Performance'!D19</f>
        <v>207800002.08999997</v>
      </c>
      <c r="F16" s="7" t="s">
        <v>20</v>
      </c>
    </row>
    <row r="17" spans="1:6" x14ac:dyDescent="0.3">
      <c r="A17" s="5" t="s">
        <v>21</v>
      </c>
      <c r="B17" s="8">
        <f>B16</f>
        <v>207800002.08999997</v>
      </c>
      <c r="F17" s="7" t="s">
        <v>22</v>
      </c>
    </row>
    <row r="18" spans="1:6" x14ac:dyDescent="0.3">
      <c r="A18" s="5" t="s">
        <v>23</v>
      </c>
      <c r="B18" s="6">
        <v>53519717.75</v>
      </c>
      <c r="F18" s="7" t="s">
        <v>24</v>
      </c>
    </row>
    <row r="19" spans="1:6" x14ac:dyDescent="0.3">
      <c r="A19" s="5" t="s">
        <v>25</v>
      </c>
      <c r="B19" s="6">
        <v>6109913.5599999996</v>
      </c>
      <c r="F19" s="7" t="s">
        <v>26</v>
      </c>
    </row>
    <row r="20" spans="1:6" x14ac:dyDescent="0.3">
      <c r="A20" s="5" t="s">
        <v>27</v>
      </c>
      <c r="B20" s="6">
        <v>343457.63</v>
      </c>
      <c r="F20" s="7" t="s">
        <v>28</v>
      </c>
    </row>
    <row r="22" spans="1:6" x14ac:dyDescent="0.3">
      <c r="A22" s="3" t="s">
        <v>29</v>
      </c>
      <c r="B22" s="4"/>
      <c r="C22" s="4"/>
      <c r="D22" s="4"/>
    </row>
    <row r="23" spans="1:6" x14ac:dyDescent="0.3">
      <c r="A23" s="5" t="s">
        <v>30</v>
      </c>
      <c r="B23" s="9">
        <f>SUMIFS(Ledger!$D$5:$D$107,Ledger!$A$5:$A$107,"&lt;="&amp;DATE(2026,6,30))</f>
        <v>-352387510.41999996</v>
      </c>
      <c r="F23" s="7" t="s">
        <v>31</v>
      </c>
    </row>
    <row r="24" spans="1:6" x14ac:dyDescent="0.3">
      <c r="A24" s="5" t="s">
        <v>32</v>
      </c>
      <c r="B24" s="9">
        <f>SUMIFS(Ledger!$E$5:$E$107,Ledger!$A$5:$A$107,"&lt;="&amp;DATE(2026,6,30))</f>
        <v>207800002.08999997</v>
      </c>
    </row>
    <row r="25" spans="1:6" x14ac:dyDescent="0.3">
      <c r="A25" s="5" t="s">
        <v>33</v>
      </c>
      <c r="B25" s="8">
        <f>B23+B24</f>
        <v>-144587508.32999998</v>
      </c>
    </row>
    <row r="26" spans="1:6" x14ac:dyDescent="0.3">
      <c r="A26" s="5" t="s">
        <v>34</v>
      </c>
      <c r="B26" s="9">
        <f>SUMIF('2. Project Performance'!B5:B18,"Active*",'2. Project Performance'!I5:I18)</f>
        <v>117696377.76000001</v>
      </c>
      <c r="F26" s="7" t="s">
        <v>35</v>
      </c>
    </row>
    <row r="27" spans="1:6" x14ac:dyDescent="0.3">
      <c r="A27" s="5" t="s">
        <v>261</v>
      </c>
      <c r="B27" s="9">
        <f>+Balance_Sheet_July_2026!C20</f>
        <v>67037158.710000001</v>
      </c>
      <c r="F27" s="7"/>
    </row>
    <row r="28" spans="1:6" x14ac:dyDescent="0.3">
      <c r="A28" s="5" t="s">
        <v>262</v>
      </c>
      <c r="B28" s="8">
        <f>B24+B26+B27</f>
        <v>392533538.55999994</v>
      </c>
    </row>
    <row r="29" spans="1:6" x14ac:dyDescent="0.3">
      <c r="A29" s="5" t="s">
        <v>36</v>
      </c>
      <c r="B29" s="10">
        <f>B28/-B23</f>
        <v>1.1139257974612982</v>
      </c>
      <c r="F29" s="62"/>
    </row>
    <row r="30" spans="1:6" x14ac:dyDescent="0.3">
      <c r="A30" s="5" t="s">
        <v>37</v>
      </c>
      <c r="B30" s="8">
        <f>B28+B23</f>
        <v>40146028.139999986</v>
      </c>
    </row>
    <row r="31" spans="1:6" x14ac:dyDescent="0.3">
      <c r="A31" s="5" t="s">
        <v>38</v>
      </c>
      <c r="B31" s="6">
        <v>14897942.369999999</v>
      </c>
      <c r="F31" s="7" t="s">
        <v>39</v>
      </c>
    </row>
    <row r="33" spans="1:6" x14ac:dyDescent="0.3">
      <c r="A33" s="3" t="s">
        <v>348</v>
      </c>
      <c r="B33" s="4"/>
      <c r="C33" s="4"/>
      <c r="D33" s="4"/>
    </row>
    <row r="34" spans="1:6" x14ac:dyDescent="0.3">
      <c r="A34" s="5" t="s">
        <v>50</v>
      </c>
      <c r="B34" s="12">
        <v>14</v>
      </c>
      <c r="F34" s="7" t="s">
        <v>51</v>
      </c>
    </row>
    <row r="35" spans="1:6" x14ac:dyDescent="0.3">
      <c r="A35" s="5" t="s">
        <v>52</v>
      </c>
      <c r="B35" s="12">
        <v>4</v>
      </c>
      <c r="F35" s="7" t="s">
        <v>53</v>
      </c>
    </row>
    <row r="36" spans="1:6" x14ac:dyDescent="0.3">
      <c r="A36" s="5" t="s">
        <v>54</v>
      </c>
      <c r="B36" s="13">
        <f>'3. Delivery Outputs'!B37</f>
        <v>6019</v>
      </c>
      <c r="F36" s="7" t="s">
        <v>55</v>
      </c>
    </row>
    <row r="37" spans="1:6" x14ac:dyDescent="0.3">
      <c r="A37" s="5" t="s">
        <v>56</v>
      </c>
      <c r="B37" s="13">
        <f>'3. Delivery Outputs'!D37</f>
        <v>200</v>
      </c>
      <c r="F37" s="7" t="s">
        <v>57</v>
      </c>
    </row>
    <row r="38" spans="1:6" x14ac:dyDescent="0.3">
      <c r="A38" s="5"/>
      <c r="B38" s="46"/>
      <c r="F38" s="7"/>
    </row>
    <row r="41" spans="1:6" x14ac:dyDescent="0.3">
      <c r="A41" s="2" t="s">
        <v>225</v>
      </c>
    </row>
    <row r="42" spans="1:6" x14ac:dyDescent="0.3">
      <c r="A42" s="2" t="s">
        <v>226</v>
      </c>
    </row>
    <row r="143" spans="1:6" x14ac:dyDescent="0.3">
      <c r="A143" s="3" t="s">
        <v>40</v>
      </c>
      <c r="B143" s="4"/>
      <c r="C143" s="4"/>
      <c r="D143" s="4"/>
    </row>
    <row r="144" spans="1:6" x14ac:dyDescent="0.3">
      <c r="A144" s="5" t="s">
        <v>41</v>
      </c>
      <c r="B144" s="9">
        <f>SUMIFS(Ledger!$D$5:$D$107,Ledger!$A$5:$A$107,"&gt;"&amp;DATE(2026,6,30))</f>
        <v>-11616720.460000001</v>
      </c>
      <c r="F144" s="7" t="s">
        <v>42</v>
      </c>
    </row>
    <row r="145" spans="1:6" x14ac:dyDescent="0.3">
      <c r="A145" s="5" t="s">
        <v>43</v>
      </c>
      <c r="B145" s="9">
        <f>SUMIFS(Ledger!$E$5:$E$107,Ledger!$A$5:$A$107,"&gt;"&amp;DATE(2026,6,30))</f>
        <v>0</v>
      </c>
      <c r="F145" s="7" t="s">
        <v>44</v>
      </c>
    </row>
    <row r="146" spans="1:6" x14ac:dyDescent="0.3">
      <c r="A146" s="5" t="s">
        <v>45</v>
      </c>
      <c r="B146" s="8">
        <f>B144+B145</f>
        <v>-11616720.460000001</v>
      </c>
    </row>
    <row r="147" spans="1:6" x14ac:dyDescent="0.3">
      <c r="A147" s="5" t="s">
        <v>46</v>
      </c>
      <c r="B147" s="9">
        <f>'2. Project Performance'!C19</f>
        <v>-371004230.88</v>
      </c>
    </row>
    <row r="148" spans="1:6" x14ac:dyDescent="0.3">
      <c r="A148" s="5" t="s">
        <v>47</v>
      </c>
      <c r="B148" s="9">
        <f>'2. Project Performance'!D19</f>
        <v>207800002.08999997</v>
      </c>
    </row>
    <row r="149" spans="1:6" x14ac:dyDescent="0.3">
      <c r="A149" s="5" t="s">
        <v>48</v>
      </c>
      <c r="B149" s="8">
        <f>B147+B148</f>
        <v>-163204228.79000002</v>
      </c>
      <c r="C149" s="62"/>
    </row>
    <row r="150" spans="1:6" x14ac:dyDescent="0.3">
      <c r="A150" s="5" t="s">
        <v>49</v>
      </c>
      <c r="B150" s="11">
        <f>'2. Project Performance'!K19</f>
        <v>0.93196526147389369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abSelected="1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defaultColWidth="8.6640625" defaultRowHeight="14.4" x14ac:dyDescent="0.3"/>
  <cols>
    <col min="1" max="1" width="32" customWidth="1"/>
    <col min="2" max="2" width="30" customWidth="1"/>
    <col min="3" max="6" width="18" customWidth="1"/>
    <col min="7" max="7" width="17" customWidth="1"/>
    <col min="8" max="8" width="22.6640625" customWidth="1"/>
    <col min="9" max="10" width="18" customWidth="1"/>
    <col min="11" max="11" width="10" customWidth="1"/>
    <col min="12" max="12" width="11" customWidth="1"/>
    <col min="13" max="13" width="72" customWidth="1"/>
  </cols>
  <sheetData>
    <row r="1" spans="1:13" ht="17.399999999999999" x14ac:dyDescent="0.3">
      <c r="A1" s="1" t="s">
        <v>58</v>
      </c>
    </row>
    <row r="2" spans="1:13" x14ac:dyDescent="0.3">
      <c r="A2" s="2" t="s">
        <v>228</v>
      </c>
    </row>
    <row r="4" spans="1:13" ht="30" customHeight="1" x14ac:dyDescent="0.3">
      <c r="A4" s="14" t="s">
        <v>59</v>
      </c>
      <c r="B4" s="14" t="s">
        <v>60</v>
      </c>
      <c r="C4" s="14" t="s">
        <v>61</v>
      </c>
      <c r="D4" s="14" t="s">
        <v>62</v>
      </c>
      <c r="E4" s="14" t="s">
        <v>63</v>
      </c>
      <c r="F4" s="14" t="s">
        <v>64</v>
      </c>
      <c r="G4" s="14" t="s">
        <v>65</v>
      </c>
      <c r="H4" s="14" t="s">
        <v>66</v>
      </c>
      <c r="I4" s="14" t="s">
        <v>67</v>
      </c>
      <c r="J4" s="14" t="s">
        <v>68</v>
      </c>
      <c r="K4" s="14" t="s">
        <v>69</v>
      </c>
      <c r="L4" s="14" t="s">
        <v>70</v>
      </c>
      <c r="M4" s="14" t="s">
        <v>71</v>
      </c>
    </row>
    <row r="5" spans="1:13" ht="47.4" customHeight="1" x14ac:dyDescent="0.3">
      <c r="A5" s="5" t="s">
        <v>350</v>
      </c>
      <c r="B5" s="5" t="s">
        <v>347</v>
      </c>
      <c r="C5" s="8">
        <f>SUMIFS(Ledger!$D$5:$D$109,Ledger!$B$5:$B$109,$A5)</f>
        <v>-95611595</v>
      </c>
      <c r="D5" s="8">
        <f>SUMIFS(Ledger!$E$5:$E$109,Ledger!$B$5:$B$109,$A5)</f>
        <v>37033391.079999998</v>
      </c>
      <c r="E5" s="8">
        <f t="shared" ref="E5:E18" si="0">C5+D5</f>
        <v>-58578203.920000002</v>
      </c>
      <c r="F5" s="6">
        <v>63500000</v>
      </c>
      <c r="G5" s="15"/>
      <c r="H5" s="15"/>
      <c r="I5" s="6">
        <v>40105521</v>
      </c>
      <c r="J5" s="8">
        <f>D5+I5</f>
        <v>77138912.079999998</v>
      </c>
      <c r="K5" s="10">
        <f t="shared" ref="K5:K18" si="1">IFERROR(J5/-C5,"n/a")</f>
        <v>0.80679453239954835</v>
      </c>
      <c r="L5" s="16">
        <v>5.4100000000000002E-2</v>
      </c>
      <c r="M5" s="17" t="s">
        <v>73</v>
      </c>
    </row>
    <row r="6" spans="1:13" ht="30" customHeight="1" x14ac:dyDescent="0.3">
      <c r="A6" s="5" t="s">
        <v>349</v>
      </c>
      <c r="B6" s="5" t="s">
        <v>95</v>
      </c>
      <c r="C6" s="8">
        <f>SUMIFS(Ledger!$D$5:$D$109,Ledger!$B$5:$B$109,$A6)</f>
        <v>-25551000</v>
      </c>
      <c r="D6" s="8">
        <f>SUMIFS(Ledger!$E$5:$E$109,Ledger!$B$5:$B$109,$A6)</f>
        <v>24000000</v>
      </c>
      <c r="E6" s="8">
        <f t="shared" si="0"/>
        <v>-1551000</v>
      </c>
      <c r="F6" s="6">
        <v>39000000</v>
      </c>
      <c r="G6" s="15"/>
      <c r="H6" s="15"/>
      <c r="I6" s="6">
        <v>12958884</v>
      </c>
      <c r="J6" s="8">
        <f t="shared" ref="J6:J18" si="2">D6+I6</f>
        <v>36958884</v>
      </c>
      <c r="K6" s="10">
        <f t="shared" si="1"/>
        <v>1.4464750499001997</v>
      </c>
      <c r="L6" s="16">
        <v>0.36030000000000001</v>
      </c>
      <c r="M6" s="17" t="s">
        <v>75</v>
      </c>
    </row>
    <row r="7" spans="1:13" ht="30" customHeight="1" x14ac:dyDescent="0.3">
      <c r="A7" s="5" t="s">
        <v>351</v>
      </c>
      <c r="B7" s="5" t="s">
        <v>77</v>
      </c>
      <c r="C7" s="8">
        <f>SUMIFS(Ledger!$D$5:$D$109,Ledger!$B$5:$B$109,$A7)</f>
        <v>-45000000</v>
      </c>
      <c r="D7" s="8">
        <f>SUMIFS(Ledger!$E$5:$E$109,Ledger!$B$5:$B$109,$A7)</f>
        <v>0</v>
      </c>
      <c r="E7" s="8">
        <f t="shared" si="0"/>
        <v>-45000000</v>
      </c>
      <c r="F7" s="6">
        <v>45000000</v>
      </c>
      <c r="G7" s="15"/>
      <c r="H7" s="15"/>
      <c r="I7" s="6">
        <v>35672548</v>
      </c>
      <c r="J7" s="8">
        <f t="shared" si="2"/>
        <v>35672548</v>
      </c>
      <c r="K7" s="10">
        <f t="shared" si="1"/>
        <v>0.79272328888888888</v>
      </c>
      <c r="L7" s="16">
        <v>0.24</v>
      </c>
      <c r="M7" s="17" t="s">
        <v>78</v>
      </c>
    </row>
    <row r="8" spans="1:13" ht="30" customHeight="1" x14ac:dyDescent="0.3">
      <c r="A8" s="5" t="s">
        <v>352</v>
      </c>
      <c r="B8" s="5" t="s">
        <v>95</v>
      </c>
      <c r="C8" s="8">
        <f>SUMIFS(Ledger!$D$5:$D$109,Ledger!$B$5:$B$109,$A8)</f>
        <v>-16300000</v>
      </c>
      <c r="D8" s="8">
        <f>SUMIFS(Ledger!$E$5:$E$109,Ledger!$B$5:$B$109,$A8)</f>
        <v>0</v>
      </c>
      <c r="E8" s="8">
        <f t="shared" si="0"/>
        <v>-16300000</v>
      </c>
      <c r="F8" s="6">
        <v>16300000</v>
      </c>
      <c r="G8" s="15"/>
      <c r="H8" s="15"/>
      <c r="I8" s="6">
        <v>4911828</v>
      </c>
      <c r="J8" s="8">
        <f t="shared" si="2"/>
        <v>4911828</v>
      </c>
      <c r="K8" s="10">
        <f t="shared" si="1"/>
        <v>0.30133914110429449</v>
      </c>
      <c r="L8" s="16">
        <v>-0.106</v>
      </c>
      <c r="M8" s="17" t="s">
        <v>80</v>
      </c>
    </row>
    <row r="9" spans="1:13" ht="30" customHeight="1" x14ac:dyDescent="0.3">
      <c r="A9" s="5" t="s">
        <v>353</v>
      </c>
      <c r="B9" s="5" t="s">
        <v>347</v>
      </c>
      <c r="C9" s="8">
        <f>SUMIFS(Ledger!$D$5:$D$109,Ledger!$B$5:$B$109,$A9)</f>
        <v>-5500000</v>
      </c>
      <c r="D9" s="8">
        <f>SUMIFS(Ledger!$E$5:$E$109,Ledger!$B$5:$B$109,$A9)</f>
        <v>0</v>
      </c>
      <c r="E9" s="8">
        <f t="shared" si="0"/>
        <v>-5500000</v>
      </c>
      <c r="F9" s="6">
        <v>5500000</v>
      </c>
      <c r="G9" s="15"/>
      <c r="H9" s="15"/>
      <c r="I9" s="6">
        <v>1037365.93</v>
      </c>
      <c r="J9" s="8">
        <f t="shared" si="2"/>
        <v>1037365.93</v>
      </c>
      <c r="K9" s="10">
        <f t="shared" si="1"/>
        <v>0.18861198727272729</v>
      </c>
      <c r="L9" s="16">
        <v>0.30109999999999998</v>
      </c>
      <c r="M9" s="17" t="s">
        <v>82</v>
      </c>
    </row>
    <row r="10" spans="1:13" ht="30" customHeight="1" x14ac:dyDescent="0.3">
      <c r="A10" s="5" t="s">
        <v>354</v>
      </c>
      <c r="B10" s="5" t="s">
        <v>347</v>
      </c>
      <c r="C10" s="8">
        <f>SUMIFS(Ledger!$D$5:$D$109,Ledger!$B$5:$B$109,$A10)</f>
        <v>-15000000</v>
      </c>
      <c r="D10" s="8">
        <f>SUMIFS(Ledger!$E$5:$E$109,Ledger!$B$5:$B$109,$A10)</f>
        <v>0</v>
      </c>
      <c r="E10" s="8">
        <f t="shared" si="0"/>
        <v>-15000000</v>
      </c>
      <c r="F10" s="6">
        <v>28000000</v>
      </c>
      <c r="G10" s="6">
        <v>31277883.809999999</v>
      </c>
      <c r="H10" s="6">
        <v>42400000</v>
      </c>
      <c r="I10" s="6">
        <v>12958884</v>
      </c>
      <c r="J10" s="8">
        <f t="shared" si="2"/>
        <v>12958884</v>
      </c>
      <c r="K10" s="10">
        <f t="shared" si="1"/>
        <v>0.86392559999999996</v>
      </c>
      <c r="L10" s="16">
        <v>0.18940000000000001</v>
      </c>
      <c r="M10" s="17" t="s">
        <v>84</v>
      </c>
    </row>
    <row r="11" spans="1:13" ht="30" customHeight="1" x14ac:dyDescent="0.3">
      <c r="A11" s="5" t="s">
        <v>355</v>
      </c>
      <c r="B11" s="5" t="s">
        <v>347</v>
      </c>
      <c r="C11" s="8">
        <f>SUMIFS(Ledger!$D$5:$D$109,Ledger!$B$5:$B$109,$A11)</f>
        <v>-20000000</v>
      </c>
      <c r="D11" s="8">
        <f>SUMIFS(Ledger!$E$5:$E$109,Ledger!$B$5:$B$109,$A11)</f>
        <v>0</v>
      </c>
      <c r="E11" s="8">
        <f t="shared" si="0"/>
        <v>-20000000</v>
      </c>
      <c r="F11" s="6">
        <v>30000000</v>
      </c>
      <c r="G11" s="6">
        <v>27926209.010000002</v>
      </c>
      <c r="H11" s="6">
        <v>38000000</v>
      </c>
      <c r="I11" s="6">
        <v>13022185.550000001</v>
      </c>
      <c r="J11" s="8">
        <f t="shared" si="2"/>
        <v>13022185.550000001</v>
      </c>
      <c r="K11" s="10">
        <f t="shared" si="1"/>
        <v>0.65110927750000003</v>
      </c>
      <c r="L11" s="16">
        <v>0.18529999999999999</v>
      </c>
      <c r="M11" s="17" t="s">
        <v>86</v>
      </c>
    </row>
    <row r="12" spans="1:13" ht="30" customHeight="1" x14ac:dyDescent="0.3">
      <c r="A12" s="5" t="s">
        <v>356</v>
      </c>
      <c r="B12" s="5" t="s">
        <v>77</v>
      </c>
      <c r="C12" s="8">
        <f>SUMIFS(Ledger!$D$5:$D$109,Ledger!$B$5:$B$109,$A12)</f>
        <v>-12000000</v>
      </c>
      <c r="D12" s="8">
        <f>SUMIFS(Ledger!$E$5:$E$109,Ledger!$B$5:$B$109,$A12)</f>
        <v>0</v>
      </c>
      <c r="E12" s="8">
        <f t="shared" si="0"/>
        <v>-12000000</v>
      </c>
      <c r="F12" s="6">
        <v>20000000</v>
      </c>
      <c r="G12" s="15"/>
      <c r="H12" s="15"/>
      <c r="I12" s="6">
        <v>4827160</v>
      </c>
      <c r="J12" s="8">
        <f t="shared" si="2"/>
        <v>4827160</v>
      </c>
      <c r="K12" s="10">
        <f t="shared" si="1"/>
        <v>0.40226333333333331</v>
      </c>
      <c r="L12" s="18" t="s">
        <v>88</v>
      </c>
      <c r="M12" s="17" t="s">
        <v>89</v>
      </c>
    </row>
    <row r="13" spans="1:13" ht="30" customHeight="1" x14ac:dyDescent="0.3">
      <c r="A13" s="5" t="s">
        <v>357</v>
      </c>
      <c r="B13" s="5" t="s">
        <v>347</v>
      </c>
      <c r="C13" s="8">
        <f>SUMIFS(Ledger!$D$5:$D$109,Ledger!$B$5:$B$109,$A13)</f>
        <v>-4389111.1399999997</v>
      </c>
      <c r="D13" s="8">
        <f>SUMIFS(Ledger!$E$5:$E$109,Ledger!$B$5:$B$109,$A13)</f>
        <v>0</v>
      </c>
      <c r="E13" s="8">
        <f t="shared" si="0"/>
        <v>-4389111.1399999997</v>
      </c>
      <c r="F13" s="6">
        <v>5000000</v>
      </c>
      <c r="G13" s="6">
        <v>26748597</v>
      </c>
      <c r="H13" s="6">
        <v>31785000</v>
      </c>
      <c r="I13" s="6">
        <v>4822787.04</v>
      </c>
      <c r="J13" s="8">
        <f t="shared" si="2"/>
        <v>4822787.04</v>
      </c>
      <c r="K13" s="10">
        <f t="shared" si="1"/>
        <v>1.0988072268318092</v>
      </c>
      <c r="L13" s="16">
        <v>0.18</v>
      </c>
      <c r="M13" s="17" t="s">
        <v>91</v>
      </c>
    </row>
    <row r="14" spans="1:13" ht="30" customHeight="1" x14ac:dyDescent="0.3">
      <c r="A14" s="5" t="s">
        <v>358</v>
      </c>
      <c r="B14" s="5" t="s">
        <v>347</v>
      </c>
      <c r="C14" s="8">
        <f>SUMIFS(Ledger!$D$5:$D$109,Ledger!$B$5:$B$109,$A14)</f>
        <v>-4466720.46</v>
      </c>
      <c r="D14" s="8">
        <f>SUMIFS(Ledger!$E$5:$E$109,Ledger!$B$5:$B$109,$A14)</f>
        <v>0</v>
      </c>
      <c r="E14" s="8">
        <f t="shared" si="0"/>
        <v>-4466720.46</v>
      </c>
      <c r="F14" s="6">
        <v>11000000</v>
      </c>
      <c r="G14" s="6">
        <v>113500309</v>
      </c>
      <c r="H14" s="6">
        <v>127130303</v>
      </c>
      <c r="I14" s="6">
        <v>5249926.24</v>
      </c>
      <c r="J14" s="8">
        <f t="shared" si="2"/>
        <v>5249926.24</v>
      </c>
      <c r="K14" s="10">
        <f t="shared" si="1"/>
        <v>1.1753424659128995</v>
      </c>
      <c r="L14" s="16">
        <v>0.20799999999999999</v>
      </c>
      <c r="M14" s="17" t="s">
        <v>93</v>
      </c>
    </row>
    <row r="15" spans="1:13" ht="30" customHeight="1" x14ac:dyDescent="0.3">
      <c r="A15" s="5" t="s">
        <v>94</v>
      </c>
      <c r="B15" s="5" t="s">
        <v>95</v>
      </c>
      <c r="C15" s="8">
        <f>SUMIFS(Ledger!$D$5:$D$109,Ledger!$B$5:$B$109,$A15)</f>
        <v>-36109399.240000002</v>
      </c>
      <c r="D15" s="8">
        <f>SUMIFS(Ledger!$E$5:$E$109,Ledger!$B$5:$B$109,$A15)</f>
        <v>42507267.899999999</v>
      </c>
      <c r="E15" s="8">
        <f t="shared" si="0"/>
        <v>6397868.6599999964</v>
      </c>
      <c r="F15" s="6">
        <v>28000000</v>
      </c>
      <c r="G15" s="15"/>
      <c r="H15" s="15"/>
      <c r="I15" s="6">
        <v>1197995</v>
      </c>
      <c r="J15" s="8">
        <f t="shared" si="2"/>
        <v>43705262.899999999</v>
      </c>
      <c r="K15" s="10">
        <f t="shared" si="1"/>
        <v>1.2103569657726601</v>
      </c>
      <c r="L15" s="16">
        <v>0.12889999999999999</v>
      </c>
      <c r="M15" s="17" t="s">
        <v>96</v>
      </c>
    </row>
    <row r="16" spans="1:13" ht="30" customHeight="1" x14ac:dyDescent="0.3">
      <c r="A16" s="5" t="s">
        <v>359</v>
      </c>
      <c r="B16" s="5" t="s">
        <v>95</v>
      </c>
      <c r="C16" s="8">
        <f>SUMIFS(Ledger!$D$5:$D$109,Ledger!$B$5:$B$109,$A16)</f>
        <v>-19076405.039999999</v>
      </c>
      <c r="D16" s="8">
        <f>SUMIFS(Ledger!$E$5:$E$109,Ledger!$B$5:$B$109,$A16)</f>
        <v>21306075.5</v>
      </c>
      <c r="E16" s="8">
        <f t="shared" si="0"/>
        <v>2229670.4600000009</v>
      </c>
      <c r="F16" s="6">
        <v>18000000</v>
      </c>
      <c r="G16" s="15"/>
      <c r="H16" s="15"/>
      <c r="I16" s="6">
        <v>1197968.19</v>
      </c>
      <c r="J16" s="8">
        <f t="shared" si="2"/>
        <v>22504043.690000001</v>
      </c>
      <c r="K16" s="10">
        <f t="shared" si="1"/>
        <v>1.1796794858786455</v>
      </c>
      <c r="L16" s="16">
        <v>0.10979999999999999</v>
      </c>
      <c r="M16" s="17" t="s">
        <v>98</v>
      </c>
    </row>
    <row r="17" spans="1:13" ht="30" customHeight="1" x14ac:dyDescent="0.3">
      <c r="A17" s="5" t="s">
        <v>360</v>
      </c>
      <c r="B17" s="5" t="s">
        <v>95</v>
      </c>
      <c r="C17" s="8">
        <f>SUMIFS(Ledger!$D$5:$D$109,Ledger!$B$5:$B$109,$A17)</f>
        <v>-7000000</v>
      </c>
      <c r="D17" s="8">
        <f>SUMIFS(Ledger!$E$5:$E$109,Ledger!$B$5:$B$109,$A17)</f>
        <v>7353424.4900000002</v>
      </c>
      <c r="E17" s="8">
        <f t="shared" si="0"/>
        <v>353424.49000000022</v>
      </c>
      <c r="F17" s="6">
        <v>7000000</v>
      </c>
      <c r="G17" s="15"/>
      <c r="H17" s="15"/>
      <c r="I17" s="6">
        <v>0</v>
      </c>
      <c r="J17" s="8">
        <f t="shared" si="2"/>
        <v>7353424.4900000002</v>
      </c>
      <c r="K17" s="10">
        <f t="shared" si="1"/>
        <v>1.0504892128571428</v>
      </c>
      <c r="L17" s="16">
        <v>0.17910000000000001</v>
      </c>
      <c r="M17" s="17" t="s">
        <v>100</v>
      </c>
    </row>
    <row r="18" spans="1:13" ht="30" customHeight="1" x14ac:dyDescent="0.3">
      <c r="A18" s="5" t="s">
        <v>361</v>
      </c>
      <c r="B18" s="5" t="s">
        <v>346</v>
      </c>
      <c r="C18" s="8">
        <f>SUMIFS(Ledger!$D$5:$D$109,Ledger!$B$5:$B$109,$A18)</f>
        <v>-65000000</v>
      </c>
      <c r="D18" s="8">
        <f>SUMIFS(Ledger!$E$5:$E$109,Ledger!$B$5:$B$109,$A18)</f>
        <v>75599843.120000005</v>
      </c>
      <c r="E18" s="8">
        <f t="shared" si="0"/>
        <v>10599843.120000005</v>
      </c>
      <c r="F18" s="6">
        <v>65000000</v>
      </c>
      <c r="G18" s="15"/>
      <c r="H18" s="15"/>
      <c r="I18" s="6">
        <v>0</v>
      </c>
      <c r="J18" s="8">
        <f t="shared" si="2"/>
        <v>75599843.120000005</v>
      </c>
      <c r="K18" s="10">
        <f t="shared" si="1"/>
        <v>1.1630745095384616</v>
      </c>
      <c r="L18" s="16">
        <v>0.1857</v>
      </c>
      <c r="M18" s="17" t="s">
        <v>102</v>
      </c>
    </row>
    <row r="19" spans="1:13" x14ac:dyDescent="0.3">
      <c r="A19" s="19" t="s">
        <v>103</v>
      </c>
      <c r="B19" s="20"/>
      <c r="C19" s="21">
        <f t="shared" ref="C19:J19" si="3">SUM(C5:C18)</f>
        <v>-371004230.88</v>
      </c>
      <c r="D19" s="21">
        <f t="shared" si="3"/>
        <v>207800002.08999997</v>
      </c>
      <c r="E19" s="21">
        <f t="shared" si="3"/>
        <v>-163204228.78999999</v>
      </c>
      <c r="F19" s="21">
        <f t="shared" si="3"/>
        <v>381300000</v>
      </c>
      <c r="G19" s="21">
        <f t="shared" si="3"/>
        <v>199452998.81999999</v>
      </c>
      <c r="H19" s="21">
        <f t="shared" si="3"/>
        <v>239315303</v>
      </c>
      <c r="I19" s="21">
        <f>SUM(I5:I18)</f>
        <v>137963052.95000002</v>
      </c>
      <c r="J19" s="21">
        <f t="shared" si="3"/>
        <v>345763055.04000002</v>
      </c>
      <c r="K19" s="22">
        <f>IFERROR(J19/-C19,"n/a")</f>
        <v>0.93196526147389369</v>
      </c>
      <c r="L19" s="75">
        <f>(L5+L18+L17+L16+L15+L14+L13+L11+L10+L9-L8+L6+L7+L20)/13</f>
        <v>0.18674615384615384</v>
      </c>
      <c r="M19" s="20"/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zoomScaleNormal="100" workbookViewId="0">
      <selection activeCell="F15" sqref="F15"/>
    </sheetView>
  </sheetViews>
  <sheetFormatPr defaultColWidth="8.6640625" defaultRowHeight="14.4" x14ac:dyDescent="0.3"/>
  <cols>
    <col min="1" max="1" width="32" customWidth="1"/>
    <col min="2" max="2" width="13" customWidth="1"/>
    <col min="3" max="3" width="44" customWidth="1"/>
    <col min="4" max="4" width="12" customWidth="1"/>
    <col min="5" max="5" width="13" customWidth="1"/>
    <col min="6" max="6" width="11" customWidth="1"/>
    <col min="7" max="7" width="12" customWidth="1"/>
    <col min="8" max="8" width="34" customWidth="1"/>
    <col min="9" max="9" width="84" customWidth="1"/>
  </cols>
  <sheetData>
    <row r="1" spans="1:9" ht="17.399999999999999" x14ac:dyDescent="0.3">
      <c r="A1" s="1" t="s">
        <v>104</v>
      </c>
    </row>
    <row r="2" spans="1:9" x14ac:dyDescent="0.3">
      <c r="A2" s="2" t="s">
        <v>105</v>
      </c>
    </row>
    <row r="4" spans="1:9" ht="30" customHeight="1" x14ac:dyDescent="0.3">
      <c r="A4" s="14" t="s">
        <v>59</v>
      </c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111</v>
      </c>
      <c r="H4" s="14" t="s">
        <v>112</v>
      </c>
      <c r="I4" s="14" t="s">
        <v>113</v>
      </c>
    </row>
    <row r="5" spans="1:9" x14ac:dyDescent="0.3">
      <c r="A5" s="19" t="s">
        <v>114</v>
      </c>
      <c r="B5" s="20"/>
      <c r="C5" s="20"/>
      <c r="D5" s="20"/>
      <c r="E5" s="20"/>
      <c r="F5" s="20"/>
      <c r="G5" s="20"/>
      <c r="H5" s="20"/>
      <c r="I5" s="20"/>
    </row>
    <row r="6" spans="1:9" ht="31.5" customHeight="1" x14ac:dyDescent="0.3">
      <c r="A6" s="23" t="s">
        <v>76</v>
      </c>
      <c r="B6" s="24">
        <v>189</v>
      </c>
      <c r="C6" s="23" t="s">
        <v>115</v>
      </c>
      <c r="D6" s="25"/>
      <c r="E6" s="24">
        <v>16</v>
      </c>
      <c r="F6" s="26"/>
      <c r="G6" s="5" t="str">
        <f t="shared" ref="G6:G11" si="0">IF(ISNUMBER(D6),B6-D6,"")</f>
        <v/>
      </c>
      <c r="H6" s="23" t="s">
        <v>116</v>
      </c>
      <c r="I6" s="17" t="s">
        <v>117</v>
      </c>
    </row>
    <row r="7" spans="1:9" ht="31.5" customHeight="1" x14ac:dyDescent="0.3">
      <c r="A7" s="23" t="s">
        <v>90</v>
      </c>
      <c r="B7" s="24">
        <v>13</v>
      </c>
      <c r="C7" s="23" t="s">
        <v>118</v>
      </c>
      <c r="D7" s="24">
        <v>0</v>
      </c>
      <c r="E7" s="24">
        <v>0</v>
      </c>
      <c r="F7" s="26"/>
      <c r="G7" s="5">
        <f t="shared" si="0"/>
        <v>13</v>
      </c>
      <c r="H7" s="23" t="s">
        <v>119</v>
      </c>
      <c r="I7" s="17" t="s">
        <v>120</v>
      </c>
    </row>
    <row r="8" spans="1:9" ht="31.5" customHeight="1" x14ac:dyDescent="0.3">
      <c r="A8" s="23" t="s">
        <v>92</v>
      </c>
      <c r="B8" s="24">
        <v>87</v>
      </c>
      <c r="C8" s="23" t="s">
        <v>121</v>
      </c>
      <c r="D8" s="24">
        <v>0</v>
      </c>
      <c r="E8" s="24">
        <v>0</v>
      </c>
      <c r="F8" s="26"/>
      <c r="G8" s="5">
        <f t="shared" si="0"/>
        <v>87</v>
      </c>
      <c r="H8" s="23" t="s">
        <v>122</v>
      </c>
      <c r="I8" s="17" t="s">
        <v>123</v>
      </c>
    </row>
    <row r="9" spans="1:9" ht="31.5" customHeight="1" x14ac:dyDescent="0.3">
      <c r="A9" s="23" t="s">
        <v>83</v>
      </c>
      <c r="B9" s="24">
        <v>134</v>
      </c>
      <c r="C9" s="23" t="s">
        <v>124</v>
      </c>
      <c r="D9" s="24">
        <v>0</v>
      </c>
      <c r="E9" s="24">
        <v>0</v>
      </c>
      <c r="F9" s="27">
        <v>0.15</v>
      </c>
      <c r="G9" s="5">
        <f t="shared" si="0"/>
        <v>134</v>
      </c>
      <c r="H9" s="23" t="s">
        <v>125</v>
      </c>
      <c r="I9" s="17" t="s">
        <v>126</v>
      </c>
    </row>
    <row r="10" spans="1:9" ht="31.5" customHeight="1" x14ac:dyDescent="0.3">
      <c r="A10" s="23" t="s">
        <v>85</v>
      </c>
      <c r="B10" s="24">
        <v>38</v>
      </c>
      <c r="C10" s="23" t="s">
        <v>127</v>
      </c>
      <c r="D10" s="24">
        <v>0</v>
      </c>
      <c r="E10" s="24">
        <v>0</v>
      </c>
      <c r="F10" s="26"/>
      <c r="G10" s="5">
        <f t="shared" si="0"/>
        <v>38</v>
      </c>
      <c r="H10" s="23" t="s">
        <v>128</v>
      </c>
      <c r="I10" s="17" t="s">
        <v>129</v>
      </c>
    </row>
    <row r="11" spans="1:9" ht="31.5" customHeight="1" x14ac:dyDescent="0.3">
      <c r="A11" s="23" t="s">
        <v>87</v>
      </c>
      <c r="B11" s="24">
        <v>109</v>
      </c>
      <c r="C11" s="23" t="s">
        <v>130</v>
      </c>
      <c r="D11" s="25">
        <v>0</v>
      </c>
      <c r="E11" s="25"/>
      <c r="F11" s="26"/>
      <c r="G11" s="5">
        <f t="shared" si="0"/>
        <v>109</v>
      </c>
      <c r="H11" s="23" t="s">
        <v>131</v>
      </c>
      <c r="I11" s="17" t="s">
        <v>132</v>
      </c>
    </row>
    <row r="12" spans="1:9" x14ac:dyDescent="0.3">
      <c r="A12" s="19" t="s">
        <v>133</v>
      </c>
      <c r="B12" s="19">
        <f>SUM(B6:B11)</f>
        <v>570</v>
      </c>
      <c r="C12" s="20"/>
      <c r="D12" s="19">
        <f>SUM(D6:D11)</f>
        <v>0</v>
      </c>
      <c r="E12" s="19">
        <f>SUM(E6:E11)</f>
        <v>16</v>
      </c>
      <c r="F12" s="20"/>
      <c r="G12" s="19">
        <f>B12-D12</f>
        <v>570</v>
      </c>
      <c r="H12" s="20"/>
      <c r="I12" s="20"/>
    </row>
    <row r="14" spans="1:9" x14ac:dyDescent="0.3">
      <c r="A14" s="19" t="s">
        <v>134</v>
      </c>
      <c r="B14" s="20"/>
      <c r="C14" s="20"/>
      <c r="D14" s="20"/>
      <c r="E14" s="20"/>
      <c r="F14" s="20"/>
      <c r="G14" s="20"/>
      <c r="H14" s="20"/>
      <c r="I14" s="20"/>
    </row>
    <row r="15" spans="1:9" ht="31.5" customHeight="1" x14ac:dyDescent="0.3">
      <c r="A15" s="23" t="s">
        <v>72</v>
      </c>
      <c r="B15" s="28">
        <v>255</v>
      </c>
      <c r="C15" s="23" t="s">
        <v>135</v>
      </c>
      <c r="D15" s="28">
        <v>93</v>
      </c>
      <c r="E15" s="25"/>
      <c r="F15" s="29">
        <v>0.41</v>
      </c>
      <c r="G15" s="5">
        <f>IF(ISNUMBER(D15),B15-D15,"")</f>
        <v>162</v>
      </c>
      <c r="H15" s="23" t="s">
        <v>136</v>
      </c>
      <c r="I15" s="17" t="s">
        <v>137</v>
      </c>
    </row>
    <row r="16" spans="1:9" ht="31.5" customHeight="1" x14ac:dyDescent="0.3">
      <c r="A16" s="23" t="s">
        <v>74</v>
      </c>
      <c r="B16" s="28">
        <v>40</v>
      </c>
      <c r="C16" s="23" t="s">
        <v>138</v>
      </c>
      <c r="D16" s="28">
        <v>40</v>
      </c>
      <c r="E16" s="28">
        <v>40</v>
      </c>
      <c r="F16" s="29">
        <v>1</v>
      </c>
      <c r="G16" s="5">
        <f>IF(ISNUMBER(D16),B16-D16,"")</f>
        <v>0</v>
      </c>
      <c r="H16" s="23" t="s">
        <v>139</v>
      </c>
      <c r="I16" s="17" t="s">
        <v>140</v>
      </c>
    </row>
    <row r="17" spans="1:9" ht="31.5" customHeight="1" x14ac:dyDescent="0.3">
      <c r="A17" s="23" t="s">
        <v>79</v>
      </c>
      <c r="B17" s="28">
        <v>17</v>
      </c>
      <c r="C17" s="23" t="s">
        <v>141</v>
      </c>
      <c r="D17" s="28">
        <v>17</v>
      </c>
      <c r="E17" s="28">
        <v>13</v>
      </c>
      <c r="F17" s="29">
        <v>1</v>
      </c>
      <c r="G17" s="5">
        <f>IF(ISNUMBER(D17),B17-D17,"")</f>
        <v>0</v>
      </c>
      <c r="H17" s="23" t="s">
        <v>142</v>
      </c>
      <c r="I17" s="17" t="s">
        <v>143</v>
      </c>
    </row>
    <row r="18" spans="1:9" ht="31.5" customHeight="1" x14ac:dyDescent="0.3">
      <c r="A18" s="23" t="s">
        <v>81</v>
      </c>
      <c r="B18" s="28">
        <v>37</v>
      </c>
      <c r="C18" s="23" t="s">
        <v>144</v>
      </c>
      <c r="D18" s="28">
        <v>33</v>
      </c>
      <c r="E18" s="25"/>
      <c r="F18" s="29">
        <v>0.89</v>
      </c>
      <c r="G18" s="5">
        <f>IF(ISNUMBER(D18),B18-D18,"")</f>
        <v>4</v>
      </c>
      <c r="H18" s="23" t="s">
        <v>145</v>
      </c>
      <c r="I18" s="17" t="s">
        <v>146</v>
      </c>
    </row>
    <row r="19" spans="1:9" ht="31.5" customHeight="1" x14ac:dyDescent="0.3">
      <c r="A19" s="23" t="s">
        <v>99</v>
      </c>
      <c r="B19" s="28">
        <v>17</v>
      </c>
      <c r="C19" s="23" t="s">
        <v>147</v>
      </c>
      <c r="D19" s="28">
        <v>17</v>
      </c>
      <c r="E19" s="28">
        <v>17</v>
      </c>
      <c r="F19" s="29">
        <v>1</v>
      </c>
      <c r="G19" s="5">
        <f>IF(ISNUMBER(D19),B19-D19,"")</f>
        <v>0</v>
      </c>
      <c r="H19" s="23" t="s">
        <v>148</v>
      </c>
      <c r="I19" s="17" t="s">
        <v>149</v>
      </c>
    </row>
    <row r="20" spans="1:9" x14ac:dyDescent="0.3">
      <c r="A20" s="19" t="s">
        <v>150</v>
      </c>
      <c r="B20" s="19">
        <f>SUM(B15:B19)</f>
        <v>366</v>
      </c>
      <c r="C20" s="20"/>
      <c r="D20" s="19" t="e">
        <f>SUM(#REF!)</f>
        <v>#REF!</v>
      </c>
      <c r="E20" s="19" t="e">
        <f>SUM(#REF!)</f>
        <v>#REF!</v>
      </c>
      <c r="F20" s="20"/>
      <c r="G20" s="19" t="e">
        <f>B20-D20</f>
        <v>#REF!</v>
      </c>
      <c r="H20" s="20"/>
      <c r="I20" s="20"/>
    </row>
    <row r="21" spans="1:9" x14ac:dyDescent="0.3">
      <c r="A21" s="19" t="s">
        <v>230</v>
      </c>
      <c r="B21" s="20"/>
      <c r="C21" s="20"/>
      <c r="D21" s="20"/>
      <c r="E21" s="20"/>
      <c r="F21" s="20"/>
      <c r="G21" s="20"/>
      <c r="H21" s="20"/>
      <c r="I21" s="20"/>
    </row>
    <row r="22" spans="1:9" x14ac:dyDescent="0.3">
      <c r="A22" s="23" t="s">
        <v>231</v>
      </c>
      <c r="B22" s="28">
        <v>208</v>
      </c>
      <c r="C22" s="23"/>
      <c r="D22" s="28"/>
      <c r="E22" s="25"/>
      <c r="F22" s="29"/>
      <c r="G22" s="5" t="str">
        <f t="shared" ref="G22:G27" si="1">IF(ISNUMBER(D22),B22-D22,"")</f>
        <v/>
      </c>
      <c r="H22" s="23"/>
      <c r="I22" s="17" t="s">
        <v>232</v>
      </c>
    </row>
    <row r="23" spans="1:9" x14ac:dyDescent="0.3">
      <c r="A23" s="23" t="s">
        <v>233</v>
      </c>
      <c r="B23" s="28">
        <v>659</v>
      </c>
      <c r="C23" s="23"/>
      <c r="D23" s="28"/>
      <c r="E23" s="28"/>
      <c r="F23" s="29"/>
      <c r="G23" s="5" t="str">
        <f t="shared" si="1"/>
        <v/>
      </c>
      <c r="H23" s="23"/>
      <c r="I23" s="17" t="s">
        <v>232</v>
      </c>
    </row>
    <row r="24" spans="1:9" x14ac:dyDescent="0.3">
      <c r="A24" s="23" t="s">
        <v>234</v>
      </c>
      <c r="B24" s="28">
        <v>815</v>
      </c>
      <c r="C24" s="23"/>
      <c r="D24" s="28"/>
      <c r="E24" s="28"/>
      <c r="F24" s="29"/>
      <c r="G24" s="5" t="str">
        <f t="shared" si="1"/>
        <v/>
      </c>
      <c r="H24" s="23"/>
      <c r="I24" s="17" t="s">
        <v>232</v>
      </c>
    </row>
    <row r="25" spans="1:9" x14ac:dyDescent="0.3">
      <c r="A25" s="23" t="s">
        <v>235</v>
      </c>
      <c r="B25" s="28">
        <v>309</v>
      </c>
      <c r="C25" s="23"/>
      <c r="D25" s="28"/>
      <c r="E25" s="25"/>
      <c r="F25" s="29"/>
      <c r="G25" s="5" t="str">
        <f t="shared" si="1"/>
        <v/>
      </c>
      <c r="H25" s="23"/>
      <c r="I25" s="17" t="s">
        <v>232</v>
      </c>
    </row>
    <row r="26" spans="1:9" x14ac:dyDescent="0.3">
      <c r="A26" s="23" t="s">
        <v>236</v>
      </c>
      <c r="B26" s="28">
        <v>84</v>
      </c>
      <c r="C26" s="23"/>
      <c r="D26" s="28"/>
      <c r="E26" s="28"/>
      <c r="F26" s="29"/>
      <c r="G26" s="5" t="str">
        <f t="shared" si="1"/>
        <v/>
      </c>
      <c r="H26" s="23"/>
      <c r="I26" s="17" t="s">
        <v>232</v>
      </c>
    </row>
    <row r="27" spans="1:9" x14ac:dyDescent="0.3">
      <c r="A27" s="43" t="s">
        <v>237</v>
      </c>
      <c r="B27" s="44">
        <v>722</v>
      </c>
      <c r="G27" s="45" t="str">
        <f t="shared" si="1"/>
        <v/>
      </c>
    </row>
    <row r="28" spans="1:9" x14ac:dyDescent="0.3">
      <c r="A28" t="s">
        <v>245</v>
      </c>
      <c r="B28" s="44">
        <v>85</v>
      </c>
    </row>
    <row r="29" spans="1:9" x14ac:dyDescent="0.3">
      <c r="A29" t="s">
        <v>246</v>
      </c>
      <c r="B29" s="44">
        <v>2201</v>
      </c>
    </row>
    <row r="36" spans="1:9" x14ac:dyDescent="0.3">
      <c r="A36" s="19" t="s">
        <v>150</v>
      </c>
      <c r="B36" s="19">
        <f>SUM(B22:B29)</f>
        <v>5083</v>
      </c>
      <c r="C36" s="20"/>
      <c r="D36" s="19">
        <f>SUM(D15:D19)</f>
        <v>200</v>
      </c>
      <c r="E36" s="19">
        <f>SUM(E15:E19)</f>
        <v>70</v>
      </c>
      <c r="F36" s="20"/>
      <c r="G36" s="19">
        <f>B36-D36</f>
        <v>4883</v>
      </c>
      <c r="H36" s="20"/>
      <c r="I36" s="20"/>
    </row>
    <row r="37" spans="1:9" x14ac:dyDescent="0.3">
      <c r="A37" s="30" t="s">
        <v>103</v>
      </c>
      <c r="B37" s="30">
        <f>B12+B20+B36</f>
        <v>6019</v>
      </c>
      <c r="C37" s="31"/>
      <c r="D37" s="30">
        <f>D12+D36</f>
        <v>200</v>
      </c>
      <c r="E37" s="30">
        <f>E12+E36</f>
        <v>86</v>
      </c>
      <c r="F37" s="31"/>
      <c r="G37" s="30">
        <f>B37-D37</f>
        <v>5819</v>
      </c>
      <c r="H37" s="31"/>
      <c r="I37" s="31"/>
    </row>
    <row r="39" spans="1:9" x14ac:dyDescent="0.3">
      <c r="A39" s="7" t="s">
        <v>151</v>
      </c>
    </row>
    <row r="40" spans="1:9" x14ac:dyDescent="0.3">
      <c r="A40" s="7" t="s">
        <v>152</v>
      </c>
    </row>
    <row r="41" spans="1:9" x14ac:dyDescent="0.3">
      <c r="A41" s="7" t="s">
        <v>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2"/>
  <sheetViews>
    <sheetView zoomScaleNormal="100" workbookViewId="0">
      <pane xSplit="1" ySplit="4" topLeftCell="B56" activePane="bottomRight" state="frozen"/>
      <selection pane="topRight" activeCell="B1" sqref="B1"/>
      <selection pane="bottomLeft" activeCell="A5" sqref="A5"/>
      <selection pane="bottomRight" activeCell="N66" activeCellId="4" sqref="H68 K67 O68 N67 N66"/>
    </sheetView>
  </sheetViews>
  <sheetFormatPr defaultColWidth="8.6640625" defaultRowHeight="14.4" x14ac:dyDescent="0.3"/>
  <cols>
    <col min="1" max="1" width="11" customWidth="1"/>
    <col min="2" max="2" width="16" customWidth="1"/>
    <col min="3" max="3" width="17" customWidth="1"/>
    <col min="4" max="4" width="15" customWidth="1"/>
    <col min="5" max="5" width="18" customWidth="1"/>
    <col min="6" max="19" width="19" customWidth="1"/>
  </cols>
  <sheetData>
    <row r="1" spans="1:19" ht="17.399999999999999" x14ac:dyDescent="0.3">
      <c r="A1" s="1" t="s">
        <v>154</v>
      </c>
    </row>
    <row r="2" spans="1:19" x14ac:dyDescent="0.3">
      <c r="A2" s="2" t="s">
        <v>155</v>
      </c>
    </row>
    <row r="4" spans="1:19" ht="30" customHeight="1" x14ac:dyDescent="0.3">
      <c r="A4" s="14" t="s">
        <v>156</v>
      </c>
      <c r="B4" s="14" t="s">
        <v>157</v>
      </c>
      <c r="C4" s="14" t="s">
        <v>158</v>
      </c>
      <c r="D4" s="14" t="s">
        <v>159</v>
      </c>
      <c r="E4" s="14" t="s">
        <v>160</v>
      </c>
      <c r="F4" s="14" t="s">
        <v>72</v>
      </c>
      <c r="G4" s="14" t="s">
        <v>74</v>
      </c>
      <c r="H4" s="14" t="s">
        <v>76</v>
      </c>
      <c r="I4" s="14" t="s">
        <v>79</v>
      </c>
      <c r="J4" s="14" t="s">
        <v>81</v>
      </c>
      <c r="K4" s="14" t="s">
        <v>83</v>
      </c>
      <c r="L4" s="14" t="s">
        <v>85</v>
      </c>
      <c r="M4" s="14" t="s">
        <v>87</v>
      </c>
      <c r="N4" s="14" t="s">
        <v>90</v>
      </c>
      <c r="O4" s="14" t="s">
        <v>92</v>
      </c>
      <c r="P4" s="14" t="s">
        <v>94</v>
      </c>
      <c r="Q4" s="14" t="s">
        <v>97</v>
      </c>
      <c r="R4" s="14" t="s">
        <v>99</v>
      </c>
      <c r="S4" s="14" t="s">
        <v>101</v>
      </c>
    </row>
    <row r="5" spans="1:19" x14ac:dyDescent="0.3">
      <c r="A5" s="32">
        <v>43040</v>
      </c>
      <c r="B5" s="33">
        <f>SUMIFS(Ledger!$D$5:$D$109,Ledger!$F$5:$F$109,$A5)</f>
        <v>-47700000</v>
      </c>
      <c r="C5" s="33">
        <f>SUMIFS(Ledger!$E$5:$E$109,Ledger!$F$5:$F$109,$A5)</f>
        <v>0</v>
      </c>
      <c r="D5" s="33">
        <f t="shared" ref="D5" si="0">B5+C5</f>
        <v>-47700000</v>
      </c>
      <c r="E5" s="33">
        <f>D5</f>
        <v>-47700000</v>
      </c>
      <c r="F5" s="33">
        <f>SUMIFS(Ledger!$C$5:$C$109,Ledger!$F$5:$F$109,$A5,Ledger!$B$5:$B$109,"Erf 1470 Khomasdal")</f>
        <v>0</v>
      </c>
      <c r="G5" s="33">
        <f>SUMIFS(Ledger!$C$5:$C$109,Ledger!$F$5:$F$109,$A5,Ledger!$B$5:$B$109,"Dunescape Villas (Erf 5159)")</f>
        <v>0</v>
      </c>
      <c r="H5" s="33">
        <f>SUMIFS(Ledger!$C$5:$C$109,Ledger!$F$5:$F$109,$A5,Ledger!$B$5:$B$109,"PAM Tree (Erf 5758)")</f>
        <v>0</v>
      </c>
      <c r="I5" s="33">
        <f>SUMIFS(Ledger!$C$5:$C$109,Ledger!$F$5:$F$109,$A5,Ledger!$B$5:$B$109,"Turnstone Villas (Erf 8939)")</f>
        <v>0</v>
      </c>
      <c r="J5" s="33">
        <f>SUMIFS(Ledger!$C$5:$C$109,Ledger!$F$5:$F$109,$A5,Ledger!$B$5:$B$109,"Lithon Nkurenkuru Ext 2")</f>
        <v>0</v>
      </c>
      <c r="K5" s="33">
        <f>SUMIFS(Ledger!$C$5:$C$109,Ledger!$F$5:$F$109,$A5,Ledger!$B$5:$B$109,"Mondesa Palms")</f>
        <v>0</v>
      </c>
      <c r="L5" s="33">
        <f>SUMIFS(Ledger!$C$5:$C$109,Ledger!$F$5:$F$109,$A5,Ledger!$B$5:$B$109,"The Ridge — Rocky Crest Ext 4")</f>
        <v>0</v>
      </c>
      <c r="M5" s="33">
        <f>SUMIFS(Ledger!$C$5:$C$109,Ledger!$F$5:$F$109,$A5,Ledger!$B$5:$B$109,"Mango Cove (Otjomuise Ext 10)")</f>
        <v>0</v>
      </c>
      <c r="N5" s="33">
        <f>SUMIFS(Ledger!$C$5:$C$109,Ledger!$F$5:$F$109,$A5,Ledger!$B$5:$B$109,"C-Breeze Heights")</f>
        <v>0</v>
      </c>
      <c r="O5" s="33">
        <f>SUMIFS(Ledger!$C$5:$C$109,Ledger!$F$5:$F$109,$A5,Ledger!$B$5:$B$109,"Tama Estates")</f>
        <v>0</v>
      </c>
      <c r="P5" s="33">
        <f>SUMIFS(Ledger!$C$5:$C$109,Ledger!$F$5:$F$109,$A5,Ledger!$B$5:$B$109,"Duma Tau — Kronlein")</f>
        <v>0</v>
      </c>
      <c r="Q5" s="33">
        <f>SUMIFS(Ledger!$C$5:$C$109,Ledger!$F$5:$F$109,$A5,Ledger!$B$5:$B$109,"LIH Nkurenkuru Ph 1")</f>
        <v>0</v>
      </c>
      <c r="R5" s="33">
        <f>SUMIFS(Ledger!$C$5:$C$109,Ledger!$F$5:$F$109,$A5,Ledger!$B$5:$B$109,"NIC Otjomuise Ext 10 (Erf 5221)")</f>
        <v>0</v>
      </c>
      <c r="S5" s="33">
        <f>SUMIFS(Ledger!$C$5:$C$109,Ledger!$F$5:$F$109,$A5,Ledger!$B$5:$B$109,"Heavens Ark — Otjomuise")</f>
        <v>0</v>
      </c>
    </row>
    <row r="6" spans="1:19" x14ac:dyDescent="0.3">
      <c r="A6" s="34">
        <v>43160</v>
      </c>
      <c r="B6" s="33">
        <f>SUMIFS(Ledger!$D$5:$D$109,Ledger!$F$5:$F$109,$A6)</f>
        <v>-22000000</v>
      </c>
      <c r="C6" s="33">
        <f>SUMIFS(Ledger!$E$5:$E$109,Ledger!$F$5:$F$109,$A6)</f>
        <v>0</v>
      </c>
      <c r="D6" s="33">
        <f t="shared" ref="D6:D68" si="1">B6+C6</f>
        <v>-22000000</v>
      </c>
      <c r="E6" s="33">
        <f t="shared" ref="E6:E69" si="2">D6</f>
        <v>-22000000</v>
      </c>
      <c r="F6" s="33">
        <f>SUMIFS(Ledger!$C$5:$C$109,Ledger!$F$5:$F$109,$A6,Ledger!$B$5:$B$109,"Erf 1470 Khomasdal")</f>
        <v>0</v>
      </c>
      <c r="G6" s="33">
        <f>SUMIFS(Ledger!$C$5:$C$109,Ledger!$F$5:$F$109,$A6,Ledger!$B$5:$B$109,"Dunescape Villas (Erf 5159)")</f>
        <v>0</v>
      </c>
      <c r="H6" s="33">
        <f>SUMIFS(Ledger!$C$5:$C$109,Ledger!$F$5:$F$109,$A6,Ledger!$B$5:$B$109,"PAM Tree (Erf 5758)")</f>
        <v>0</v>
      </c>
      <c r="I6" s="33">
        <f>SUMIFS(Ledger!$C$5:$C$109,Ledger!$F$5:$F$109,$A6,Ledger!$B$5:$B$109,"Turnstone Villas (Erf 8939)")</f>
        <v>0</v>
      </c>
      <c r="J6" s="33">
        <f>SUMIFS(Ledger!$C$5:$C$109,Ledger!$F$5:$F$109,$A6,Ledger!$B$5:$B$109,"Lithon Nkurenkuru Ext 2")</f>
        <v>0</v>
      </c>
      <c r="K6" s="33">
        <f>SUMIFS(Ledger!$C$5:$C$109,Ledger!$F$5:$F$109,$A6,Ledger!$B$5:$B$109,"Mondesa Palms")</f>
        <v>0</v>
      </c>
      <c r="L6" s="33">
        <f>SUMIFS(Ledger!$C$5:$C$109,Ledger!$F$5:$F$109,$A6,Ledger!$B$5:$B$109,"The Ridge — Rocky Crest Ext 4")</f>
        <v>0</v>
      </c>
      <c r="M6" s="33">
        <f>SUMIFS(Ledger!$C$5:$C$109,Ledger!$F$5:$F$109,$A6,Ledger!$B$5:$B$109,"Mango Cove (Otjomuise Ext 10)")</f>
        <v>0</v>
      </c>
      <c r="N6" s="33">
        <f>SUMIFS(Ledger!$C$5:$C$109,Ledger!$F$5:$F$109,$A6,Ledger!$B$5:$B$109,"C-Breeze Heights")</f>
        <v>0</v>
      </c>
      <c r="O6" s="33">
        <f>SUMIFS(Ledger!$C$5:$C$109,Ledger!$F$5:$F$109,$A6,Ledger!$B$5:$B$109,"Tama Estates")</f>
        <v>0</v>
      </c>
      <c r="P6" s="33">
        <f>SUMIFS(Ledger!$C$5:$C$109,Ledger!$F$5:$F$109,$A6,Ledger!$B$5:$B$109,"Duma Tau — Kronlein")</f>
        <v>-22000000</v>
      </c>
      <c r="Q6" s="33">
        <f>SUMIFS(Ledger!$C$5:$C$109,Ledger!$F$5:$F$109,$A6,Ledger!$B$5:$B$109,"LIH Nkurenkuru Ph 1")</f>
        <v>0</v>
      </c>
      <c r="R6" s="33">
        <f>SUMIFS(Ledger!$C$5:$C$109,Ledger!$F$5:$F$109,$A6,Ledger!$B$5:$B$109,"NIC Otjomuise Ext 10 (Erf 5221)")</f>
        <v>0</v>
      </c>
      <c r="S6" s="33">
        <f>SUMIFS(Ledger!$C$5:$C$109,Ledger!$F$5:$F$109,$A6,Ledger!$B$5:$B$109,"Heavens Ark — Otjomuise")</f>
        <v>0</v>
      </c>
    </row>
    <row r="7" spans="1:19" x14ac:dyDescent="0.3">
      <c r="A7" s="32">
        <v>43191</v>
      </c>
      <c r="B7" s="33">
        <f>SUMIFS(Ledger!$D$5:$D$109,Ledger!$F$5:$F$109,$A7)</f>
        <v>-10000000</v>
      </c>
      <c r="C7" s="33">
        <f>SUMIFS(Ledger!$E$5:$E$109,Ledger!$F$5:$F$109,$A7)</f>
        <v>0</v>
      </c>
      <c r="D7" s="33">
        <f t="shared" si="1"/>
        <v>-10000000</v>
      </c>
      <c r="E7" s="33">
        <f t="shared" si="2"/>
        <v>-10000000</v>
      </c>
      <c r="F7" s="33">
        <f>SUMIFS(Ledger!$C$5:$C$109,Ledger!$F$5:$F$109,$A7,Ledger!$B$5:$B$109,"Erf 1470 Khomasdal")</f>
        <v>0</v>
      </c>
      <c r="G7" s="33">
        <f>SUMIFS(Ledger!$C$5:$C$109,Ledger!$F$5:$F$109,$A7,Ledger!$B$5:$B$109,"Dunescape Villas (Erf 5159)")</f>
        <v>0</v>
      </c>
      <c r="H7" s="33">
        <f>SUMIFS(Ledger!$C$5:$C$109,Ledger!$F$5:$F$109,$A7,Ledger!$B$5:$B$109,"PAM Tree (Erf 5758)")</f>
        <v>0</v>
      </c>
      <c r="I7" s="33">
        <f>SUMIFS(Ledger!$C$5:$C$109,Ledger!$F$5:$F$109,$A7,Ledger!$B$5:$B$109,"Turnstone Villas (Erf 8939)")</f>
        <v>0</v>
      </c>
      <c r="J7" s="33">
        <f>SUMIFS(Ledger!$C$5:$C$109,Ledger!$F$5:$F$109,$A7,Ledger!$B$5:$B$109,"Lithon Nkurenkuru Ext 2")</f>
        <v>0</v>
      </c>
      <c r="K7" s="33">
        <f>SUMIFS(Ledger!$C$5:$C$109,Ledger!$F$5:$F$109,$A7,Ledger!$B$5:$B$109,"Mondesa Palms")</f>
        <v>0</v>
      </c>
      <c r="L7" s="33">
        <f>SUMIFS(Ledger!$C$5:$C$109,Ledger!$F$5:$F$109,$A7,Ledger!$B$5:$B$109,"The Ridge — Rocky Crest Ext 4")</f>
        <v>0</v>
      </c>
      <c r="M7" s="33">
        <f>SUMIFS(Ledger!$C$5:$C$109,Ledger!$F$5:$F$109,$A7,Ledger!$B$5:$B$109,"Mango Cove (Otjomuise Ext 10)")</f>
        <v>0</v>
      </c>
      <c r="N7" s="33">
        <f>SUMIFS(Ledger!$C$5:$C$109,Ledger!$F$5:$F$109,$A7,Ledger!$B$5:$B$109,"C-Breeze Heights")</f>
        <v>0</v>
      </c>
      <c r="O7" s="33">
        <f>SUMIFS(Ledger!$C$5:$C$109,Ledger!$F$5:$F$109,$A7,Ledger!$B$5:$B$109,"Tama Estates")</f>
        <v>0</v>
      </c>
      <c r="P7" s="33">
        <f>SUMIFS(Ledger!$C$5:$C$109,Ledger!$F$5:$F$109,$A7,Ledger!$B$5:$B$109,"Duma Tau — Kronlein")</f>
        <v>0</v>
      </c>
      <c r="Q7" s="33">
        <f>SUMIFS(Ledger!$C$5:$C$109,Ledger!$F$5:$F$109,$A7,Ledger!$B$5:$B$109,"LIH Nkurenkuru Ph 1")</f>
        <v>0</v>
      </c>
      <c r="R7" s="33">
        <f>SUMIFS(Ledger!$C$5:$C$109,Ledger!$F$5:$F$109,$A7,Ledger!$B$5:$B$109,"NIC Otjomuise Ext 10 (Erf 5221)")</f>
        <v>0</v>
      </c>
      <c r="S7" s="33">
        <f>SUMIFS(Ledger!$C$5:$C$109,Ledger!$F$5:$F$109,$A7,Ledger!$B$5:$B$109,"Heavens Ark — Otjomuise")</f>
        <v>0</v>
      </c>
    </row>
    <row r="8" spans="1:19" x14ac:dyDescent="0.3">
      <c r="A8" s="34">
        <v>43252</v>
      </c>
      <c r="B8" s="33">
        <f>SUMIFS(Ledger!$D$5:$D$109,Ledger!$F$5:$F$109,$A8)</f>
        <v>-700000</v>
      </c>
      <c r="C8" s="33">
        <f>SUMIFS(Ledger!$E$5:$E$109,Ledger!$F$5:$F$109,$A8)</f>
        <v>0</v>
      </c>
      <c r="D8" s="33">
        <f t="shared" si="1"/>
        <v>-700000</v>
      </c>
      <c r="E8" s="33">
        <f t="shared" si="2"/>
        <v>-700000</v>
      </c>
      <c r="F8" s="33">
        <f>SUMIFS(Ledger!$C$5:$C$109,Ledger!$F$5:$F$109,$A8,Ledger!$B$5:$B$109,"Erf 1470 Khomasdal")</f>
        <v>0</v>
      </c>
      <c r="G8" s="33">
        <f>SUMIFS(Ledger!$C$5:$C$109,Ledger!$F$5:$F$109,$A8,Ledger!$B$5:$B$109,"Dunescape Villas (Erf 5159)")</f>
        <v>0</v>
      </c>
      <c r="H8" s="33">
        <f>SUMIFS(Ledger!$C$5:$C$109,Ledger!$F$5:$F$109,$A8,Ledger!$B$5:$B$109,"PAM Tree (Erf 5758)")</f>
        <v>0</v>
      </c>
      <c r="I8" s="33">
        <f>SUMIFS(Ledger!$C$5:$C$109,Ledger!$F$5:$F$109,$A8,Ledger!$B$5:$B$109,"Turnstone Villas (Erf 8939)")</f>
        <v>0</v>
      </c>
      <c r="J8" s="33">
        <f>SUMIFS(Ledger!$C$5:$C$109,Ledger!$F$5:$F$109,$A8,Ledger!$B$5:$B$109,"Lithon Nkurenkuru Ext 2")</f>
        <v>0</v>
      </c>
      <c r="K8" s="33">
        <f>SUMIFS(Ledger!$C$5:$C$109,Ledger!$F$5:$F$109,$A8,Ledger!$B$5:$B$109,"Mondesa Palms")</f>
        <v>0</v>
      </c>
      <c r="L8" s="33">
        <f>SUMIFS(Ledger!$C$5:$C$109,Ledger!$F$5:$F$109,$A8,Ledger!$B$5:$B$109,"The Ridge — Rocky Crest Ext 4")</f>
        <v>0</v>
      </c>
      <c r="M8" s="33">
        <f>SUMIFS(Ledger!$C$5:$C$109,Ledger!$F$5:$F$109,$A8,Ledger!$B$5:$B$109,"Mango Cove (Otjomuise Ext 10)")</f>
        <v>0</v>
      </c>
      <c r="N8" s="33">
        <f>SUMIFS(Ledger!$C$5:$C$109,Ledger!$F$5:$F$109,$A8,Ledger!$B$5:$B$109,"C-Breeze Heights")</f>
        <v>0</v>
      </c>
      <c r="O8" s="33">
        <f>SUMIFS(Ledger!$C$5:$C$109,Ledger!$F$5:$F$109,$A8,Ledger!$B$5:$B$109,"Tama Estates")</f>
        <v>0</v>
      </c>
      <c r="P8" s="33">
        <f>SUMIFS(Ledger!$C$5:$C$109,Ledger!$F$5:$F$109,$A8,Ledger!$B$5:$B$109,"Duma Tau — Kronlein")</f>
        <v>0</v>
      </c>
      <c r="Q8" s="33">
        <f>SUMIFS(Ledger!$C$5:$C$109,Ledger!$F$5:$F$109,$A8,Ledger!$B$5:$B$109,"LIH Nkurenkuru Ph 1")</f>
        <v>0</v>
      </c>
      <c r="R8" s="33">
        <f>SUMIFS(Ledger!$C$5:$C$109,Ledger!$F$5:$F$109,$A8,Ledger!$B$5:$B$109,"NIC Otjomuise Ext 10 (Erf 5221)")</f>
        <v>0</v>
      </c>
      <c r="S8" s="33">
        <f>SUMIFS(Ledger!$C$5:$C$109,Ledger!$F$5:$F$109,$A8,Ledger!$B$5:$B$109,"Heavens Ark — Otjomuise")</f>
        <v>0</v>
      </c>
    </row>
    <row r="9" spans="1:19" x14ac:dyDescent="0.3">
      <c r="A9" s="32">
        <v>43282</v>
      </c>
      <c r="B9" s="33">
        <f>SUMIFS(Ledger!$D$5:$D$109,Ledger!$F$5:$F$109,$A9)</f>
        <v>-4300000</v>
      </c>
      <c r="C9" s="33">
        <f>SUMIFS(Ledger!$E$5:$E$109,Ledger!$F$5:$F$109,$A9)</f>
        <v>0</v>
      </c>
      <c r="D9" s="33">
        <f t="shared" si="1"/>
        <v>-4300000</v>
      </c>
      <c r="E9" s="33">
        <f t="shared" si="2"/>
        <v>-4300000</v>
      </c>
      <c r="F9" s="33">
        <f>SUMIFS(Ledger!$C$5:$C$109,Ledger!$F$5:$F$109,$A9,Ledger!$B$5:$B$109,"Erf 1470 Khomasdal")</f>
        <v>0</v>
      </c>
      <c r="G9" s="33">
        <f>SUMIFS(Ledger!$C$5:$C$109,Ledger!$F$5:$F$109,$A9,Ledger!$B$5:$B$109,"Dunescape Villas (Erf 5159)")</f>
        <v>0</v>
      </c>
      <c r="H9" s="33">
        <f>SUMIFS(Ledger!$C$5:$C$109,Ledger!$F$5:$F$109,$A9,Ledger!$B$5:$B$109,"PAM Tree (Erf 5758)")</f>
        <v>0</v>
      </c>
      <c r="I9" s="33">
        <f>SUMIFS(Ledger!$C$5:$C$109,Ledger!$F$5:$F$109,$A9,Ledger!$B$5:$B$109,"Turnstone Villas (Erf 8939)")</f>
        <v>0</v>
      </c>
      <c r="J9" s="33">
        <f>SUMIFS(Ledger!$C$5:$C$109,Ledger!$F$5:$F$109,$A9,Ledger!$B$5:$B$109,"Lithon Nkurenkuru Ext 2")</f>
        <v>0</v>
      </c>
      <c r="K9" s="33">
        <f>SUMIFS(Ledger!$C$5:$C$109,Ledger!$F$5:$F$109,$A9,Ledger!$B$5:$B$109,"Mondesa Palms")</f>
        <v>0</v>
      </c>
      <c r="L9" s="33">
        <f>SUMIFS(Ledger!$C$5:$C$109,Ledger!$F$5:$F$109,$A9,Ledger!$B$5:$B$109,"The Ridge — Rocky Crest Ext 4")</f>
        <v>0</v>
      </c>
      <c r="M9" s="33">
        <f>SUMIFS(Ledger!$C$5:$C$109,Ledger!$F$5:$F$109,$A9,Ledger!$B$5:$B$109,"Mango Cove (Otjomuise Ext 10)")</f>
        <v>0</v>
      </c>
      <c r="N9" s="33">
        <f>SUMIFS(Ledger!$C$5:$C$109,Ledger!$F$5:$F$109,$A9,Ledger!$B$5:$B$109,"C-Breeze Heights")</f>
        <v>0</v>
      </c>
      <c r="O9" s="33">
        <f>SUMIFS(Ledger!$C$5:$C$109,Ledger!$F$5:$F$109,$A9,Ledger!$B$5:$B$109,"Tama Estates")</f>
        <v>0</v>
      </c>
      <c r="P9" s="33">
        <f>SUMIFS(Ledger!$C$5:$C$109,Ledger!$F$5:$F$109,$A9,Ledger!$B$5:$B$109,"Duma Tau — Kronlein")</f>
        <v>0</v>
      </c>
      <c r="Q9" s="33">
        <f>SUMIFS(Ledger!$C$5:$C$109,Ledger!$F$5:$F$109,$A9,Ledger!$B$5:$B$109,"LIH Nkurenkuru Ph 1")</f>
        <v>0</v>
      </c>
      <c r="R9" s="33">
        <f>SUMIFS(Ledger!$C$5:$C$109,Ledger!$F$5:$F$109,$A9,Ledger!$B$5:$B$109,"NIC Otjomuise Ext 10 (Erf 5221)")</f>
        <v>0</v>
      </c>
      <c r="S9" s="33">
        <f>SUMIFS(Ledger!$C$5:$C$109,Ledger!$F$5:$F$109,$A9,Ledger!$B$5:$B$109,"Heavens Ark — Otjomuise")</f>
        <v>0</v>
      </c>
    </row>
    <row r="10" spans="1:19" x14ac:dyDescent="0.3">
      <c r="A10" s="34">
        <v>43313</v>
      </c>
      <c r="B10" s="33">
        <f>SUMIFS(Ledger!$D$5:$D$109,Ledger!$F$5:$F$109,$A10)</f>
        <v>-11000000</v>
      </c>
      <c r="C10" s="33">
        <f>SUMIFS(Ledger!$E$5:$E$109,Ledger!$F$5:$F$109,$A10)</f>
        <v>0</v>
      </c>
      <c r="D10" s="33">
        <f t="shared" si="1"/>
        <v>-11000000</v>
      </c>
      <c r="E10" s="33">
        <f t="shared" si="2"/>
        <v>-11000000</v>
      </c>
      <c r="F10" s="33">
        <f>SUMIFS(Ledger!$C$5:$C$109,Ledger!$F$5:$F$109,$A10,Ledger!$B$5:$B$109,"Erf 1470 Khomasdal")</f>
        <v>0</v>
      </c>
      <c r="G10" s="33">
        <f>SUMIFS(Ledger!$C$5:$C$109,Ledger!$F$5:$F$109,$A10,Ledger!$B$5:$B$109,"Dunescape Villas (Erf 5159)")</f>
        <v>0</v>
      </c>
      <c r="H10" s="33">
        <f>SUMIFS(Ledger!$C$5:$C$109,Ledger!$F$5:$F$109,$A10,Ledger!$B$5:$B$109,"PAM Tree (Erf 5758)")</f>
        <v>0</v>
      </c>
      <c r="I10" s="33">
        <f>SUMIFS(Ledger!$C$5:$C$109,Ledger!$F$5:$F$109,$A10,Ledger!$B$5:$B$109,"Turnstone Villas (Erf 8939)")</f>
        <v>0</v>
      </c>
      <c r="J10" s="33">
        <f>SUMIFS(Ledger!$C$5:$C$109,Ledger!$F$5:$F$109,$A10,Ledger!$B$5:$B$109,"Lithon Nkurenkuru Ext 2")</f>
        <v>0</v>
      </c>
      <c r="K10" s="33">
        <f>SUMIFS(Ledger!$C$5:$C$109,Ledger!$F$5:$F$109,$A10,Ledger!$B$5:$B$109,"Mondesa Palms")</f>
        <v>0</v>
      </c>
      <c r="L10" s="33">
        <f>SUMIFS(Ledger!$C$5:$C$109,Ledger!$F$5:$F$109,$A10,Ledger!$B$5:$B$109,"The Ridge — Rocky Crest Ext 4")</f>
        <v>0</v>
      </c>
      <c r="M10" s="33">
        <f>SUMIFS(Ledger!$C$5:$C$109,Ledger!$F$5:$F$109,$A10,Ledger!$B$5:$B$109,"Mango Cove (Otjomuise Ext 10)")</f>
        <v>0</v>
      </c>
      <c r="N10" s="33">
        <f>SUMIFS(Ledger!$C$5:$C$109,Ledger!$F$5:$F$109,$A10,Ledger!$B$5:$B$109,"C-Breeze Heights")</f>
        <v>0</v>
      </c>
      <c r="O10" s="33">
        <f>SUMIFS(Ledger!$C$5:$C$109,Ledger!$F$5:$F$109,$A10,Ledger!$B$5:$B$109,"Tama Estates")</f>
        <v>0</v>
      </c>
      <c r="P10" s="33">
        <f>SUMIFS(Ledger!$C$5:$C$109,Ledger!$F$5:$F$109,$A10,Ledger!$B$5:$B$109,"Duma Tau — Kronlein")</f>
        <v>-6000000</v>
      </c>
      <c r="Q10" s="33">
        <f>SUMIFS(Ledger!$C$5:$C$109,Ledger!$F$5:$F$109,$A10,Ledger!$B$5:$B$109,"LIH Nkurenkuru Ph 1")</f>
        <v>0</v>
      </c>
      <c r="R10" s="33">
        <f>SUMIFS(Ledger!$C$5:$C$109,Ledger!$F$5:$F$109,$A10,Ledger!$B$5:$B$109,"NIC Otjomuise Ext 10 (Erf 5221)")</f>
        <v>0</v>
      </c>
      <c r="S10" s="33">
        <f>SUMIFS(Ledger!$C$5:$C$109,Ledger!$F$5:$F$109,$A10,Ledger!$B$5:$B$109,"Heavens Ark — Otjomuise")</f>
        <v>0</v>
      </c>
    </row>
    <row r="11" spans="1:19" x14ac:dyDescent="0.3">
      <c r="A11" s="32">
        <v>43344</v>
      </c>
      <c r="B11" s="33">
        <f>SUMIFS(Ledger!$D$5:$D$109,Ledger!$F$5:$F$109,$A11)</f>
        <v>-2500000</v>
      </c>
      <c r="C11" s="33">
        <f>SUMIFS(Ledger!$E$5:$E$109,Ledger!$F$5:$F$109,$A11)</f>
        <v>1302000</v>
      </c>
      <c r="D11" s="33">
        <f t="shared" si="1"/>
        <v>-1198000</v>
      </c>
      <c r="E11" s="33">
        <f t="shared" si="2"/>
        <v>-1198000</v>
      </c>
      <c r="F11" s="33">
        <f>SUMIFS(Ledger!$C$5:$C$109,Ledger!$F$5:$F$109,$A11,Ledger!$B$5:$B$109,"Erf 1470 Khomasdal")</f>
        <v>0</v>
      </c>
      <c r="G11" s="33">
        <f>SUMIFS(Ledger!$C$5:$C$109,Ledger!$F$5:$F$109,$A11,Ledger!$B$5:$B$109,"Dunescape Villas (Erf 5159)")</f>
        <v>0</v>
      </c>
      <c r="H11" s="33">
        <f>SUMIFS(Ledger!$C$5:$C$109,Ledger!$F$5:$F$109,$A11,Ledger!$B$5:$B$109,"PAM Tree (Erf 5758)")</f>
        <v>0</v>
      </c>
      <c r="I11" s="33">
        <f>SUMIFS(Ledger!$C$5:$C$109,Ledger!$F$5:$F$109,$A11,Ledger!$B$5:$B$109,"Turnstone Villas (Erf 8939)")</f>
        <v>0</v>
      </c>
      <c r="J11" s="33">
        <f>SUMIFS(Ledger!$C$5:$C$109,Ledger!$F$5:$F$109,$A11,Ledger!$B$5:$B$109,"Lithon Nkurenkuru Ext 2")</f>
        <v>0</v>
      </c>
      <c r="K11" s="33">
        <f>SUMIFS(Ledger!$C$5:$C$109,Ledger!$F$5:$F$109,$A11,Ledger!$B$5:$B$109,"Mondesa Palms")</f>
        <v>0</v>
      </c>
      <c r="L11" s="33">
        <f>SUMIFS(Ledger!$C$5:$C$109,Ledger!$F$5:$F$109,$A11,Ledger!$B$5:$B$109,"The Ridge — Rocky Crest Ext 4")</f>
        <v>0</v>
      </c>
      <c r="M11" s="33">
        <f>SUMIFS(Ledger!$C$5:$C$109,Ledger!$F$5:$F$109,$A11,Ledger!$B$5:$B$109,"Mango Cove (Otjomuise Ext 10)")</f>
        <v>0</v>
      </c>
      <c r="N11" s="33">
        <f>SUMIFS(Ledger!$C$5:$C$109,Ledger!$F$5:$F$109,$A11,Ledger!$B$5:$B$109,"C-Breeze Heights")</f>
        <v>0</v>
      </c>
      <c r="O11" s="33">
        <f>SUMIFS(Ledger!$C$5:$C$109,Ledger!$F$5:$F$109,$A11,Ledger!$B$5:$B$109,"Tama Estates")</f>
        <v>0</v>
      </c>
      <c r="P11" s="33">
        <f>SUMIFS(Ledger!$C$5:$C$109,Ledger!$F$5:$F$109,$A11,Ledger!$B$5:$B$109,"Duma Tau — Kronlein")</f>
        <v>1302000</v>
      </c>
      <c r="Q11" s="33">
        <f>SUMIFS(Ledger!$C$5:$C$109,Ledger!$F$5:$F$109,$A11,Ledger!$B$5:$B$109,"LIH Nkurenkuru Ph 1")</f>
        <v>0</v>
      </c>
      <c r="R11" s="33">
        <f>SUMIFS(Ledger!$C$5:$C$109,Ledger!$F$5:$F$109,$A11,Ledger!$B$5:$B$109,"NIC Otjomuise Ext 10 (Erf 5221)")</f>
        <v>0</v>
      </c>
      <c r="S11" s="33">
        <f>SUMIFS(Ledger!$C$5:$C$109,Ledger!$F$5:$F$109,$A11,Ledger!$B$5:$B$109,"Heavens Ark — Otjomuise")</f>
        <v>0</v>
      </c>
    </row>
    <row r="12" spans="1:19" x14ac:dyDescent="0.3">
      <c r="A12" s="34">
        <v>43374</v>
      </c>
      <c r="B12" s="33">
        <f>SUMIFS(Ledger!$D$5:$D$109,Ledger!$F$5:$F$109,$A12)</f>
        <v>-10000000</v>
      </c>
      <c r="C12" s="33">
        <f>SUMIFS(Ledger!$E$5:$E$109,Ledger!$F$5:$F$109,$A12)</f>
        <v>0</v>
      </c>
      <c r="D12" s="33">
        <f t="shared" si="1"/>
        <v>-10000000</v>
      </c>
      <c r="E12" s="33">
        <f t="shared" si="2"/>
        <v>-10000000</v>
      </c>
      <c r="F12" s="33">
        <f>SUMIFS(Ledger!$C$5:$C$109,Ledger!$F$5:$F$109,$A12,Ledger!$B$5:$B$109,"Erf 1470 Khomasdal")</f>
        <v>0</v>
      </c>
      <c r="G12" s="33">
        <f>SUMIFS(Ledger!$C$5:$C$109,Ledger!$F$5:$F$109,$A12,Ledger!$B$5:$B$109,"Dunescape Villas (Erf 5159)")</f>
        <v>0</v>
      </c>
      <c r="H12" s="33">
        <f>SUMIFS(Ledger!$C$5:$C$109,Ledger!$F$5:$F$109,$A12,Ledger!$B$5:$B$109,"PAM Tree (Erf 5758)")</f>
        <v>0</v>
      </c>
      <c r="I12" s="33">
        <f>SUMIFS(Ledger!$C$5:$C$109,Ledger!$F$5:$F$109,$A12,Ledger!$B$5:$B$109,"Turnstone Villas (Erf 8939)")</f>
        <v>0</v>
      </c>
      <c r="J12" s="33">
        <f>SUMIFS(Ledger!$C$5:$C$109,Ledger!$F$5:$F$109,$A12,Ledger!$B$5:$B$109,"Lithon Nkurenkuru Ext 2")</f>
        <v>0</v>
      </c>
      <c r="K12" s="33">
        <f>SUMIFS(Ledger!$C$5:$C$109,Ledger!$F$5:$F$109,$A12,Ledger!$B$5:$B$109,"Mondesa Palms")</f>
        <v>0</v>
      </c>
      <c r="L12" s="33">
        <f>SUMIFS(Ledger!$C$5:$C$109,Ledger!$F$5:$F$109,$A12,Ledger!$B$5:$B$109,"The Ridge — Rocky Crest Ext 4")</f>
        <v>0</v>
      </c>
      <c r="M12" s="33">
        <f>SUMIFS(Ledger!$C$5:$C$109,Ledger!$F$5:$F$109,$A12,Ledger!$B$5:$B$109,"Mango Cove (Otjomuise Ext 10)")</f>
        <v>0</v>
      </c>
      <c r="N12" s="33">
        <f>SUMIFS(Ledger!$C$5:$C$109,Ledger!$F$5:$F$109,$A12,Ledger!$B$5:$B$109,"C-Breeze Heights")</f>
        <v>0</v>
      </c>
      <c r="O12" s="33">
        <f>SUMIFS(Ledger!$C$5:$C$109,Ledger!$F$5:$F$109,$A12,Ledger!$B$5:$B$109,"Tama Estates")</f>
        <v>0</v>
      </c>
      <c r="P12" s="33">
        <f>SUMIFS(Ledger!$C$5:$C$109,Ledger!$F$5:$F$109,$A12,Ledger!$B$5:$B$109,"Duma Tau — Kronlein")</f>
        <v>0</v>
      </c>
      <c r="Q12" s="33">
        <f>SUMIFS(Ledger!$C$5:$C$109,Ledger!$F$5:$F$109,$A12,Ledger!$B$5:$B$109,"LIH Nkurenkuru Ph 1")</f>
        <v>0</v>
      </c>
      <c r="R12" s="33">
        <f>SUMIFS(Ledger!$C$5:$C$109,Ledger!$F$5:$F$109,$A12,Ledger!$B$5:$B$109,"NIC Otjomuise Ext 10 (Erf 5221)")</f>
        <v>0</v>
      </c>
      <c r="S12" s="33">
        <f>SUMIFS(Ledger!$C$5:$C$109,Ledger!$F$5:$F$109,$A12,Ledger!$B$5:$B$109,"Heavens Ark — Otjomuise")</f>
        <v>0</v>
      </c>
    </row>
    <row r="13" spans="1:19" x14ac:dyDescent="0.3">
      <c r="A13" s="32">
        <v>43405</v>
      </c>
      <c r="B13" s="33">
        <f>SUMIFS(Ledger!$D$5:$D$109,Ledger!$F$5:$F$109,$A13)</f>
        <v>-11600000</v>
      </c>
      <c r="C13" s="33">
        <f>SUMIFS(Ledger!$E$5:$E$109,Ledger!$F$5:$F$109,$A13)</f>
        <v>0</v>
      </c>
      <c r="D13" s="33">
        <f t="shared" si="1"/>
        <v>-11600000</v>
      </c>
      <c r="E13" s="33">
        <f t="shared" si="2"/>
        <v>-11600000</v>
      </c>
      <c r="F13" s="33">
        <f>SUMIFS(Ledger!$C$5:$C$109,Ledger!$F$5:$F$109,$A13,Ledger!$B$5:$B$109,"Erf 1470 Khomasdal")</f>
        <v>0</v>
      </c>
      <c r="G13" s="33">
        <f>SUMIFS(Ledger!$C$5:$C$109,Ledger!$F$5:$F$109,$A13,Ledger!$B$5:$B$109,"Dunescape Villas (Erf 5159)")</f>
        <v>0</v>
      </c>
      <c r="H13" s="33">
        <f>SUMIFS(Ledger!$C$5:$C$109,Ledger!$F$5:$F$109,$A13,Ledger!$B$5:$B$109,"PAM Tree (Erf 5758)")</f>
        <v>0</v>
      </c>
      <c r="I13" s="33">
        <f>SUMIFS(Ledger!$C$5:$C$109,Ledger!$F$5:$F$109,$A13,Ledger!$B$5:$B$109,"Turnstone Villas (Erf 8939)")</f>
        <v>0</v>
      </c>
      <c r="J13" s="33">
        <f>SUMIFS(Ledger!$C$5:$C$109,Ledger!$F$5:$F$109,$A13,Ledger!$B$5:$B$109,"Lithon Nkurenkuru Ext 2")</f>
        <v>0</v>
      </c>
      <c r="K13" s="33">
        <f>SUMIFS(Ledger!$C$5:$C$109,Ledger!$F$5:$F$109,$A13,Ledger!$B$5:$B$109,"Mondesa Palms")</f>
        <v>0</v>
      </c>
      <c r="L13" s="33">
        <f>SUMIFS(Ledger!$C$5:$C$109,Ledger!$F$5:$F$109,$A13,Ledger!$B$5:$B$109,"The Ridge — Rocky Crest Ext 4")</f>
        <v>0</v>
      </c>
      <c r="M13" s="33">
        <f>SUMIFS(Ledger!$C$5:$C$109,Ledger!$F$5:$F$109,$A13,Ledger!$B$5:$B$109,"Mango Cove (Otjomuise Ext 10)")</f>
        <v>0</v>
      </c>
      <c r="N13" s="33">
        <f>SUMIFS(Ledger!$C$5:$C$109,Ledger!$F$5:$F$109,$A13,Ledger!$B$5:$B$109,"C-Breeze Heights")</f>
        <v>0</v>
      </c>
      <c r="O13" s="33">
        <f>SUMIFS(Ledger!$C$5:$C$109,Ledger!$F$5:$F$109,$A13,Ledger!$B$5:$B$109,"Tama Estates")</f>
        <v>0</v>
      </c>
      <c r="P13" s="33">
        <f>SUMIFS(Ledger!$C$5:$C$109,Ledger!$F$5:$F$109,$A13,Ledger!$B$5:$B$109,"Duma Tau — Kronlein")</f>
        <v>0</v>
      </c>
      <c r="Q13" s="33">
        <f>SUMIFS(Ledger!$C$5:$C$109,Ledger!$F$5:$F$109,$A13,Ledger!$B$5:$B$109,"LIH Nkurenkuru Ph 1")</f>
        <v>0</v>
      </c>
      <c r="R13" s="33">
        <f>SUMIFS(Ledger!$C$5:$C$109,Ledger!$F$5:$F$109,$A13,Ledger!$B$5:$B$109,"NIC Otjomuise Ext 10 (Erf 5221)")</f>
        <v>0</v>
      </c>
      <c r="S13" s="33">
        <f>SUMIFS(Ledger!$C$5:$C$109,Ledger!$F$5:$F$109,$A13,Ledger!$B$5:$B$109,"Heavens Ark — Otjomuise")</f>
        <v>0</v>
      </c>
    </row>
    <row r="14" spans="1:19" x14ac:dyDescent="0.3">
      <c r="A14" s="34">
        <v>43435</v>
      </c>
      <c r="B14" s="33">
        <f>SUMIFS(Ledger!$D$5:$D$109,Ledger!$F$5:$F$109,$A14)</f>
        <v>0</v>
      </c>
      <c r="C14" s="33">
        <f>SUMIFS(Ledger!$E$5:$E$109,Ledger!$F$5:$F$109,$A14)</f>
        <v>10443745</v>
      </c>
      <c r="D14" s="33">
        <f t="shared" si="1"/>
        <v>10443745</v>
      </c>
      <c r="E14" s="33">
        <f t="shared" si="2"/>
        <v>10443745</v>
      </c>
      <c r="F14" s="33">
        <f>SUMIFS(Ledger!$C$5:$C$109,Ledger!$F$5:$F$109,$A14,Ledger!$B$5:$B$109,"Erf 1470 Khomasdal")</f>
        <v>0</v>
      </c>
      <c r="G14" s="33">
        <f>SUMIFS(Ledger!$C$5:$C$109,Ledger!$F$5:$F$109,$A14,Ledger!$B$5:$B$109,"Dunescape Villas (Erf 5159)")</f>
        <v>0</v>
      </c>
      <c r="H14" s="33">
        <f>SUMIFS(Ledger!$C$5:$C$109,Ledger!$F$5:$F$109,$A14,Ledger!$B$5:$B$109,"PAM Tree (Erf 5758)")</f>
        <v>0</v>
      </c>
      <c r="I14" s="33">
        <f>SUMIFS(Ledger!$C$5:$C$109,Ledger!$F$5:$F$109,$A14,Ledger!$B$5:$B$109,"Turnstone Villas (Erf 8939)")</f>
        <v>0</v>
      </c>
      <c r="J14" s="33">
        <f>SUMIFS(Ledger!$C$5:$C$109,Ledger!$F$5:$F$109,$A14,Ledger!$B$5:$B$109,"Lithon Nkurenkuru Ext 2")</f>
        <v>0</v>
      </c>
      <c r="K14" s="33">
        <f>SUMIFS(Ledger!$C$5:$C$109,Ledger!$F$5:$F$109,$A14,Ledger!$B$5:$B$109,"Mondesa Palms")</f>
        <v>0</v>
      </c>
      <c r="L14" s="33">
        <f>SUMIFS(Ledger!$C$5:$C$109,Ledger!$F$5:$F$109,$A14,Ledger!$B$5:$B$109,"The Ridge — Rocky Crest Ext 4")</f>
        <v>0</v>
      </c>
      <c r="M14" s="33">
        <f>SUMIFS(Ledger!$C$5:$C$109,Ledger!$F$5:$F$109,$A14,Ledger!$B$5:$B$109,"Mango Cove (Otjomuise Ext 10)")</f>
        <v>0</v>
      </c>
      <c r="N14" s="33">
        <f>SUMIFS(Ledger!$C$5:$C$109,Ledger!$F$5:$F$109,$A14,Ledger!$B$5:$B$109,"C-Breeze Heights")</f>
        <v>0</v>
      </c>
      <c r="O14" s="33">
        <f>SUMIFS(Ledger!$C$5:$C$109,Ledger!$F$5:$F$109,$A14,Ledger!$B$5:$B$109,"Tama Estates")</f>
        <v>0</v>
      </c>
      <c r="P14" s="33">
        <f>SUMIFS(Ledger!$C$5:$C$109,Ledger!$F$5:$F$109,$A14,Ledger!$B$5:$B$109,"Duma Tau — Kronlein")</f>
        <v>10443745</v>
      </c>
      <c r="Q14" s="33">
        <f>SUMIFS(Ledger!$C$5:$C$109,Ledger!$F$5:$F$109,$A14,Ledger!$B$5:$B$109,"LIH Nkurenkuru Ph 1")</f>
        <v>0</v>
      </c>
      <c r="R14" s="33">
        <f>SUMIFS(Ledger!$C$5:$C$109,Ledger!$F$5:$F$109,$A14,Ledger!$B$5:$B$109,"NIC Otjomuise Ext 10 (Erf 5221)")</f>
        <v>0</v>
      </c>
      <c r="S14" s="33">
        <f>SUMIFS(Ledger!$C$5:$C$109,Ledger!$F$5:$F$109,$A14,Ledger!$B$5:$B$109,"Heavens Ark — Otjomuise")</f>
        <v>0</v>
      </c>
    </row>
    <row r="15" spans="1:19" x14ac:dyDescent="0.3">
      <c r="A15" s="32">
        <v>43466</v>
      </c>
      <c r="B15" s="33">
        <f>SUMIFS(Ledger!$D$5:$D$109,Ledger!$F$5:$F$109,$A15)</f>
        <v>-12450000</v>
      </c>
      <c r="C15" s="33">
        <f>SUMIFS(Ledger!$E$5:$E$109,Ledger!$F$5:$F$109,$A15)</f>
        <v>4425225</v>
      </c>
      <c r="D15" s="33">
        <f t="shared" si="1"/>
        <v>-8024775</v>
      </c>
      <c r="E15" s="33">
        <f t="shared" si="2"/>
        <v>-8024775</v>
      </c>
      <c r="F15" s="33">
        <f>SUMIFS(Ledger!$C$5:$C$109,Ledger!$F$5:$F$109,$A15,Ledger!$B$5:$B$109,"Erf 1470 Khomasdal")</f>
        <v>0</v>
      </c>
      <c r="G15" s="33">
        <f>SUMIFS(Ledger!$C$5:$C$109,Ledger!$F$5:$F$109,$A15,Ledger!$B$5:$B$109,"Dunescape Villas (Erf 5159)")</f>
        <v>0</v>
      </c>
      <c r="H15" s="33">
        <f>SUMIFS(Ledger!$C$5:$C$109,Ledger!$F$5:$F$109,$A15,Ledger!$B$5:$B$109,"PAM Tree (Erf 5758)")</f>
        <v>0</v>
      </c>
      <c r="I15" s="33">
        <f>SUMIFS(Ledger!$C$5:$C$109,Ledger!$F$5:$F$109,$A15,Ledger!$B$5:$B$109,"Turnstone Villas (Erf 8939)")</f>
        <v>0</v>
      </c>
      <c r="J15" s="33">
        <f>SUMIFS(Ledger!$C$5:$C$109,Ledger!$F$5:$F$109,$A15,Ledger!$B$5:$B$109,"Lithon Nkurenkuru Ext 2")</f>
        <v>0</v>
      </c>
      <c r="K15" s="33">
        <f>SUMIFS(Ledger!$C$5:$C$109,Ledger!$F$5:$F$109,$A15,Ledger!$B$5:$B$109,"Mondesa Palms")</f>
        <v>0</v>
      </c>
      <c r="L15" s="33">
        <f>SUMIFS(Ledger!$C$5:$C$109,Ledger!$F$5:$F$109,$A15,Ledger!$B$5:$B$109,"The Ridge — Rocky Crest Ext 4")</f>
        <v>0</v>
      </c>
      <c r="M15" s="33">
        <f>SUMIFS(Ledger!$C$5:$C$109,Ledger!$F$5:$F$109,$A15,Ledger!$B$5:$B$109,"Mango Cove (Otjomuise Ext 10)")</f>
        <v>0</v>
      </c>
      <c r="N15" s="33">
        <f>SUMIFS(Ledger!$C$5:$C$109,Ledger!$F$5:$F$109,$A15,Ledger!$B$5:$B$109,"C-Breeze Heights")</f>
        <v>0</v>
      </c>
      <c r="O15" s="33">
        <f>SUMIFS(Ledger!$C$5:$C$109,Ledger!$F$5:$F$109,$A15,Ledger!$B$5:$B$109,"Tama Estates")</f>
        <v>0</v>
      </c>
      <c r="P15" s="33">
        <f>SUMIFS(Ledger!$C$5:$C$109,Ledger!$F$5:$F$109,$A15,Ledger!$B$5:$B$109,"Duma Tau — Kronlein")</f>
        <v>4425225</v>
      </c>
      <c r="Q15" s="33">
        <f>SUMIFS(Ledger!$C$5:$C$109,Ledger!$F$5:$F$109,$A15,Ledger!$B$5:$B$109,"LIH Nkurenkuru Ph 1")</f>
        <v>0</v>
      </c>
      <c r="R15" s="33">
        <f>SUMIFS(Ledger!$C$5:$C$109,Ledger!$F$5:$F$109,$A15,Ledger!$B$5:$B$109,"NIC Otjomuise Ext 10 (Erf 5221)")</f>
        <v>0</v>
      </c>
      <c r="S15" s="33">
        <f>SUMIFS(Ledger!$C$5:$C$109,Ledger!$F$5:$F$109,$A15,Ledger!$B$5:$B$109,"Heavens Ark — Otjomuise")</f>
        <v>0</v>
      </c>
    </row>
    <row r="16" spans="1:19" x14ac:dyDescent="0.3">
      <c r="A16" s="34">
        <v>43497</v>
      </c>
      <c r="B16" s="33">
        <f>SUMIFS(Ledger!$D$5:$D$109,Ledger!$F$5:$F$109,$A16)</f>
        <v>-10400000</v>
      </c>
      <c r="C16" s="33">
        <f>SUMIFS(Ledger!$E$5:$E$109,Ledger!$F$5:$F$109,$A16)</f>
        <v>3242310</v>
      </c>
      <c r="D16" s="33">
        <f t="shared" si="1"/>
        <v>-7157690</v>
      </c>
      <c r="E16" s="33">
        <f t="shared" si="2"/>
        <v>-7157690</v>
      </c>
      <c r="F16" s="33">
        <f>SUMIFS(Ledger!$C$5:$C$109,Ledger!$F$5:$F$109,$A16,Ledger!$B$5:$B$109,"Erf 1470 Khomasdal")</f>
        <v>0</v>
      </c>
      <c r="G16" s="33">
        <f>SUMIFS(Ledger!$C$5:$C$109,Ledger!$F$5:$F$109,$A16,Ledger!$B$5:$B$109,"Dunescape Villas (Erf 5159)")</f>
        <v>0</v>
      </c>
      <c r="H16" s="33">
        <f>SUMIFS(Ledger!$C$5:$C$109,Ledger!$F$5:$F$109,$A16,Ledger!$B$5:$B$109,"PAM Tree (Erf 5758)")</f>
        <v>0</v>
      </c>
      <c r="I16" s="33">
        <f>SUMIFS(Ledger!$C$5:$C$109,Ledger!$F$5:$F$109,$A16,Ledger!$B$5:$B$109,"Turnstone Villas (Erf 8939)")</f>
        <v>0</v>
      </c>
      <c r="J16" s="33">
        <f>SUMIFS(Ledger!$C$5:$C$109,Ledger!$F$5:$F$109,$A16,Ledger!$B$5:$B$109,"Lithon Nkurenkuru Ext 2")</f>
        <v>0</v>
      </c>
      <c r="K16" s="33">
        <f>SUMIFS(Ledger!$C$5:$C$109,Ledger!$F$5:$F$109,$A16,Ledger!$B$5:$B$109,"Mondesa Palms")</f>
        <v>0</v>
      </c>
      <c r="L16" s="33">
        <f>SUMIFS(Ledger!$C$5:$C$109,Ledger!$F$5:$F$109,$A16,Ledger!$B$5:$B$109,"The Ridge — Rocky Crest Ext 4")</f>
        <v>0</v>
      </c>
      <c r="M16" s="33">
        <f>SUMIFS(Ledger!$C$5:$C$109,Ledger!$F$5:$F$109,$A16,Ledger!$B$5:$B$109,"Mango Cove (Otjomuise Ext 10)")</f>
        <v>0</v>
      </c>
      <c r="N16" s="33">
        <f>SUMIFS(Ledger!$C$5:$C$109,Ledger!$F$5:$F$109,$A16,Ledger!$B$5:$B$109,"C-Breeze Heights")</f>
        <v>0</v>
      </c>
      <c r="O16" s="33">
        <f>SUMIFS(Ledger!$C$5:$C$109,Ledger!$F$5:$F$109,$A16,Ledger!$B$5:$B$109,"Tama Estates")</f>
        <v>0</v>
      </c>
      <c r="P16" s="33">
        <f>SUMIFS(Ledger!$C$5:$C$109,Ledger!$F$5:$F$109,$A16,Ledger!$B$5:$B$109,"Duma Tau — Kronlein")</f>
        <v>3242310</v>
      </c>
      <c r="Q16" s="33">
        <f>SUMIFS(Ledger!$C$5:$C$109,Ledger!$F$5:$F$109,$A16,Ledger!$B$5:$B$109,"LIH Nkurenkuru Ph 1")</f>
        <v>0</v>
      </c>
      <c r="R16" s="33">
        <f>SUMIFS(Ledger!$C$5:$C$109,Ledger!$F$5:$F$109,$A16,Ledger!$B$5:$B$109,"NIC Otjomuise Ext 10 (Erf 5221)")</f>
        <v>0</v>
      </c>
      <c r="S16" s="33">
        <f>SUMIFS(Ledger!$C$5:$C$109,Ledger!$F$5:$F$109,$A16,Ledger!$B$5:$B$109,"Heavens Ark — Otjomuise")</f>
        <v>0</v>
      </c>
    </row>
    <row r="17" spans="1:19" x14ac:dyDescent="0.3">
      <c r="A17" s="32">
        <v>43525</v>
      </c>
      <c r="B17" s="33">
        <f>SUMIFS(Ledger!$D$5:$D$109,Ledger!$F$5:$F$109,$A17)</f>
        <v>-14200000</v>
      </c>
      <c r="C17" s="33">
        <f>SUMIFS(Ledger!$E$5:$E$109,Ledger!$F$5:$F$109,$A17)</f>
        <v>4087330</v>
      </c>
      <c r="D17" s="33">
        <f t="shared" si="1"/>
        <v>-10112670</v>
      </c>
      <c r="E17" s="33">
        <f t="shared" si="2"/>
        <v>-10112670</v>
      </c>
      <c r="F17" s="33">
        <f>SUMIFS(Ledger!$C$5:$C$109,Ledger!$F$5:$F$109,$A17,Ledger!$B$5:$B$109,"Erf 1470 Khomasdal")</f>
        <v>0</v>
      </c>
      <c r="G17" s="33">
        <f>SUMIFS(Ledger!$C$5:$C$109,Ledger!$F$5:$F$109,$A17,Ledger!$B$5:$B$109,"Dunescape Villas (Erf 5159)")</f>
        <v>0</v>
      </c>
      <c r="H17" s="33">
        <f>SUMIFS(Ledger!$C$5:$C$109,Ledger!$F$5:$F$109,$A17,Ledger!$B$5:$B$109,"PAM Tree (Erf 5758)")</f>
        <v>0</v>
      </c>
      <c r="I17" s="33">
        <f>SUMIFS(Ledger!$C$5:$C$109,Ledger!$F$5:$F$109,$A17,Ledger!$B$5:$B$109,"Turnstone Villas (Erf 8939)")</f>
        <v>0</v>
      </c>
      <c r="J17" s="33">
        <f>SUMIFS(Ledger!$C$5:$C$109,Ledger!$F$5:$F$109,$A17,Ledger!$B$5:$B$109,"Lithon Nkurenkuru Ext 2")</f>
        <v>0</v>
      </c>
      <c r="K17" s="33">
        <f>SUMIFS(Ledger!$C$5:$C$109,Ledger!$F$5:$F$109,$A17,Ledger!$B$5:$B$109,"Mondesa Palms")</f>
        <v>0</v>
      </c>
      <c r="L17" s="33">
        <f>SUMIFS(Ledger!$C$5:$C$109,Ledger!$F$5:$F$109,$A17,Ledger!$B$5:$B$109,"The Ridge — Rocky Crest Ext 4")</f>
        <v>0</v>
      </c>
      <c r="M17" s="33">
        <f>SUMIFS(Ledger!$C$5:$C$109,Ledger!$F$5:$F$109,$A17,Ledger!$B$5:$B$109,"Mango Cove (Otjomuise Ext 10)")</f>
        <v>0</v>
      </c>
      <c r="N17" s="33">
        <f>SUMIFS(Ledger!$C$5:$C$109,Ledger!$F$5:$F$109,$A17,Ledger!$B$5:$B$109,"C-Breeze Heights")</f>
        <v>0</v>
      </c>
      <c r="O17" s="33">
        <f>SUMIFS(Ledger!$C$5:$C$109,Ledger!$F$5:$F$109,$A17,Ledger!$B$5:$B$109,"Tama Estates")</f>
        <v>0</v>
      </c>
      <c r="P17" s="33">
        <f>SUMIFS(Ledger!$C$5:$C$109,Ledger!$F$5:$F$109,$A17,Ledger!$B$5:$B$109,"Duma Tau — Kronlein")</f>
        <v>4087330</v>
      </c>
      <c r="Q17" s="33">
        <f>SUMIFS(Ledger!$C$5:$C$109,Ledger!$F$5:$F$109,$A17,Ledger!$B$5:$B$109,"LIH Nkurenkuru Ph 1")</f>
        <v>0</v>
      </c>
      <c r="R17" s="33">
        <f>SUMIFS(Ledger!$C$5:$C$109,Ledger!$F$5:$F$109,$A17,Ledger!$B$5:$B$109,"NIC Otjomuise Ext 10 (Erf 5221)")</f>
        <v>0</v>
      </c>
      <c r="S17" s="33">
        <f>SUMIFS(Ledger!$C$5:$C$109,Ledger!$F$5:$F$109,$A17,Ledger!$B$5:$B$109,"Heavens Ark — Otjomuise")</f>
        <v>0</v>
      </c>
    </row>
    <row r="18" spans="1:19" x14ac:dyDescent="0.3">
      <c r="A18" s="34">
        <v>43556</v>
      </c>
      <c r="B18" s="33">
        <f>SUMIFS(Ledger!$D$5:$D$109,Ledger!$F$5:$F$109,$A18)</f>
        <v>0</v>
      </c>
      <c r="C18" s="33">
        <f>SUMIFS(Ledger!$E$5:$E$109,Ledger!$F$5:$F$109,$A18)</f>
        <v>1923105</v>
      </c>
      <c r="D18" s="33">
        <f t="shared" si="1"/>
        <v>1923105</v>
      </c>
      <c r="E18" s="33">
        <f t="shared" si="2"/>
        <v>1923105</v>
      </c>
      <c r="F18" s="33">
        <f>SUMIFS(Ledger!$C$5:$C$109,Ledger!$F$5:$F$109,$A18,Ledger!$B$5:$B$109,"Erf 1470 Khomasdal")</f>
        <v>0</v>
      </c>
      <c r="G18" s="33">
        <f>SUMIFS(Ledger!$C$5:$C$109,Ledger!$F$5:$F$109,$A18,Ledger!$B$5:$B$109,"Dunescape Villas (Erf 5159)")</f>
        <v>0</v>
      </c>
      <c r="H18" s="33">
        <f>SUMIFS(Ledger!$C$5:$C$109,Ledger!$F$5:$F$109,$A18,Ledger!$B$5:$B$109,"PAM Tree (Erf 5758)")</f>
        <v>0</v>
      </c>
      <c r="I18" s="33">
        <f>SUMIFS(Ledger!$C$5:$C$109,Ledger!$F$5:$F$109,$A18,Ledger!$B$5:$B$109,"Turnstone Villas (Erf 8939)")</f>
        <v>0</v>
      </c>
      <c r="J18" s="33">
        <f>SUMIFS(Ledger!$C$5:$C$109,Ledger!$F$5:$F$109,$A18,Ledger!$B$5:$B$109,"Lithon Nkurenkuru Ext 2")</f>
        <v>0</v>
      </c>
      <c r="K18" s="33">
        <f>SUMIFS(Ledger!$C$5:$C$109,Ledger!$F$5:$F$109,$A18,Ledger!$B$5:$B$109,"Mondesa Palms")</f>
        <v>0</v>
      </c>
      <c r="L18" s="33">
        <f>SUMIFS(Ledger!$C$5:$C$109,Ledger!$F$5:$F$109,$A18,Ledger!$B$5:$B$109,"The Ridge — Rocky Crest Ext 4")</f>
        <v>0</v>
      </c>
      <c r="M18" s="33">
        <f>SUMIFS(Ledger!$C$5:$C$109,Ledger!$F$5:$F$109,$A18,Ledger!$B$5:$B$109,"Mango Cove (Otjomuise Ext 10)")</f>
        <v>0</v>
      </c>
      <c r="N18" s="33">
        <f>SUMIFS(Ledger!$C$5:$C$109,Ledger!$F$5:$F$109,$A18,Ledger!$B$5:$B$109,"C-Breeze Heights")</f>
        <v>0</v>
      </c>
      <c r="O18" s="33">
        <f>SUMIFS(Ledger!$C$5:$C$109,Ledger!$F$5:$F$109,$A18,Ledger!$B$5:$B$109,"Tama Estates")</f>
        <v>0</v>
      </c>
      <c r="P18" s="33">
        <f>SUMIFS(Ledger!$C$5:$C$109,Ledger!$F$5:$F$109,$A18,Ledger!$B$5:$B$109,"Duma Tau — Kronlein")</f>
        <v>1923105</v>
      </c>
      <c r="Q18" s="33">
        <f>SUMIFS(Ledger!$C$5:$C$109,Ledger!$F$5:$F$109,$A18,Ledger!$B$5:$B$109,"LIH Nkurenkuru Ph 1")</f>
        <v>0</v>
      </c>
      <c r="R18" s="33">
        <f>SUMIFS(Ledger!$C$5:$C$109,Ledger!$F$5:$F$109,$A18,Ledger!$B$5:$B$109,"NIC Otjomuise Ext 10 (Erf 5221)")</f>
        <v>0</v>
      </c>
      <c r="S18" s="33">
        <f>SUMIFS(Ledger!$C$5:$C$109,Ledger!$F$5:$F$109,$A18,Ledger!$B$5:$B$109,"Heavens Ark — Otjomuise")</f>
        <v>0</v>
      </c>
    </row>
    <row r="19" spans="1:19" x14ac:dyDescent="0.3">
      <c r="A19" s="32">
        <v>43586</v>
      </c>
      <c r="B19" s="33">
        <f>SUMIFS(Ledger!$D$5:$D$109,Ledger!$F$5:$F$109,$A19)</f>
        <v>-4000000</v>
      </c>
      <c r="C19" s="33">
        <f>SUMIFS(Ledger!$E$5:$E$109,Ledger!$F$5:$F$109,$A19)</f>
        <v>1678090.04</v>
      </c>
      <c r="D19" s="33">
        <f t="shared" si="1"/>
        <v>-2321909.96</v>
      </c>
      <c r="E19" s="33">
        <f t="shared" si="2"/>
        <v>-2321909.96</v>
      </c>
      <c r="F19" s="33">
        <f>SUMIFS(Ledger!$C$5:$C$109,Ledger!$F$5:$F$109,$A19,Ledger!$B$5:$B$109,"Erf 1470 Khomasdal")</f>
        <v>0</v>
      </c>
      <c r="G19" s="33">
        <f>SUMIFS(Ledger!$C$5:$C$109,Ledger!$F$5:$F$109,$A19,Ledger!$B$5:$B$109,"Dunescape Villas (Erf 5159)")</f>
        <v>0</v>
      </c>
      <c r="H19" s="33">
        <f>SUMIFS(Ledger!$C$5:$C$109,Ledger!$F$5:$F$109,$A19,Ledger!$B$5:$B$109,"PAM Tree (Erf 5758)")</f>
        <v>0</v>
      </c>
      <c r="I19" s="33">
        <f>SUMIFS(Ledger!$C$5:$C$109,Ledger!$F$5:$F$109,$A19,Ledger!$B$5:$B$109,"Turnstone Villas (Erf 8939)")</f>
        <v>0</v>
      </c>
      <c r="J19" s="33">
        <f>SUMIFS(Ledger!$C$5:$C$109,Ledger!$F$5:$F$109,$A19,Ledger!$B$5:$B$109,"Lithon Nkurenkuru Ext 2")</f>
        <v>0</v>
      </c>
      <c r="K19" s="33">
        <f>SUMIFS(Ledger!$C$5:$C$109,Ledger!$F$5:$F$109,$A19,Ledger!$B$5:$B$109,"Mondesa Palms")</f>
        <v>0</v>
      </c>
      <c r="L19" s="33">
        <f>SUMIFS(Ledger!$C$5:$C$109,Ledger!$F$5:$F$109,$A19,Ledger!$B$5:$B$109,"The Ridge — Rocky Crest Ext 4")</f>
        <v>0</v>
      </c>
      <c r="M19" s="33">
        <f>SUMIFS(Ledger!$C$5:$C$109,Ledger!$F$5:$F$109,$A19,Ledger!$B$5:$B$109,"Mango Cove (Otjomuise Ext 10)")</f>
        <v>0</v>
      </c>
      <c r="N19" s="33">
        <f>SUMIFS(Ledger!$C$5:$C$109,Ledger!$F$5:$F$109,$A19,Ledger!$B$5:$B$109,"C-Breeze Heights")</f>
        <v>0</v>
      </c>
      <c r="O19" s="33">
        <f>SUMIFS(Ledger!$C$5:$C$109,Ledger!$F$5:$F$109,$A19,Ledger!$B$5:$B$109,"Tama Estates")</f>
        <v>0</v>
      </c>
      <c r="P19" s="33">
        <f>SUMIFS(Ledger!$C$5:$C$109,Ledger!$F$5:$F$109,$A19,Ledger!$B$5:$B$109,"Duma Tau — Kronlein")</f>
        <v>679120</v>
      </c>
      <c r="Q19" s="33">
        <f>SUMIFS(Ledger!$C$5:$C$109,Ledger!$F$5:$F$109,$A19,Ledger!$B$5:$B$109,"LIH Nkurenkuru Ph 1")</f>
        <v>0</v>
      </c>
      <c r="R19" s="33">
        <f>SUMIFS(Ledger!$C$5:$C$109,Ledger!$F$5:$F$109,$A19,Ledger!$B$5:$B$109,"NIC Otjomuise Ext 10 (Erf 5221)")</f>
        <v>0</v>
      </c>
      <c r="S19" s="33">
        <f>SUMIFS(Ledger!$C$5:$C$109,Ledger!$F$5:$F$109,$A19,Ledger!$B$5:$B$109,"Heavens Ark — Otjomuise")</f>
        <v>0</v>
      </c>
    </row>
    <row r="20" spans="1:19" x14ac:dyDescent="0.3">
      <c r="A20" s="34">
        <v>43617</v>
      </c>
      <c r="B20" s="33">
        <f>SUMIFS(Ledger!$D$5:$D$109,Ledger!$F$5:$F$109,$A20)</f>
        <v>-4268344.28</v>
      </c>
      <c r="C20" s="33">
        <f>SUMIFS(Ledger!$E$5:$E$109,Ledger!$F$5:$F$109,$A20)</f>
        <v>5417251.2799999993</v>
      </c>
      <c r="D20" s="33">
        <f t="shared" si="1"/>
        <v>1148906.9999999991</v>
      </c>
      <c r="E20" s="33">
        <f t="shared" si="2"/>
        <v>1148906.9999999991</v>
      </c>
      <c r="F20" s="33">
        <f>SUMIFS(Ledger!$C$5:$C$109,Ledger!$F$5:$F$109,$A20,Ledger!$B$5:$B$109,"Erf 1470 Khomasdal")</f>
        <v>0</v>
      </c>
      <c r="G20" s="33">
        <f>SUMIFS(Ledger!$C$5:$C$109,Ledger!$F$5:$F$109,$A20,Ledger!$B$5:$B$109,"Dunescape Villas (Erf 5159)")</f>
        <v>0</v>
      </c>
      <c r="H20" s="33">
        <f>SUMIFS(Ledger!$C$5:$C$109,Ledger!$F$5:$F$109,$A20,Ledger!$B$5:$B$109,"PAM Tree (Erf 5758)")</f>
        <v>0</v>
      </c>
      <c r="I20" s="33">
        <f>SUMIFS(Ledger!$C$5:$C$109,Ledger!$F$5:$F$109,$A20,Ledger!$B$5:$B$109,"Turnstone Villas (Erf 8939)")</f>
        <v>0</v>
      </c>
      <c r="J20" s="33">
        <f>SUMIFS(Ledger!$C$5:$C$109,Ledger!$F$5:$F$109,$A20,Ledger!$B$5:$B$109,"Lithon Nkurenkuru Ext 2")</f>
        <v>0</v>
      </c>
      <c r="K20" s="33">
        <f>SUMIFS(Ledger!$C$5:$C$109,Ledger!$F$5:$F$109,$A20,Ledger!$B$5:$B$109,"Mondesa Palms")</f>
        <v>0</v>
      </c>
      <c r="L20" s="33">
        <f>SUMIFS(Ledger!$C$5:$C$109,Ledger!$F$5:$F$109,$A20,Ledger!$B$5:$B$109,"The Ridge — Rocky Crest Ext 4")</f>
        <v>0</v>
      </c>
      <c r="M20" s="33">
        <f>SUMIFS(Ledger!$C$5:$C$109,Ledger!$F$5:$F$109,$A20,Ledger!$B$5:$B$109,"Mango Cove (Otjomuise Ext 10)")</f>
        <v>0</v>
      </c>
      <c r="N20" s="33">
        <f>SUMIFS(Ledger!$C$5:$C$109,Ledger!$F$5:$F$109,$A20,Ledger!$B$5:$B$109,"C-Breeze Heights")</f>
        <v>0</v>
      </c>
      <c r="O20" s="33">
        <f>SUMIFS(Ledger!$C$5:$C$109,Ledger!$F$5:$F$109,$A20,Ledger!$B$5:$B$109,"Tama Estates")</f>
        <v>0</v>
      </c>
      <c r="P20" s="33">
        <f>SUMIFS(Ledger!$C$5:$C$109,Ledger!$F$5:$F$109,$A20,Ledger!$B$5:$B$109,"Duma Tau — Kronlein")</f>
        <v>-823394.24000000022</v>
      </c>
      <c r="Q20" s="33">
        <f>SUMIFS(Ledger!$C$5:$C$109,Ledger!$F$5:$F$109,$A20,Ledger!$B$5:$B$109,"LIH Nkurenkuru Ph 1")</f>
        <v>0</v>
      </c>
      <c r="R20" s="33">
        <f>SUMIFS(Ledger!$C$5:$C$109,Ledger!$F$5:$F$109,$A20,Ledger!$B$5:$B$109,"NIC Otjomuise Ext 10 (Erf 5221)")</f>
        <v>0</v>
      </c>
      <c r="S20" s="33">
        <f>SUMIFS(Ledger!$C$5:$C$109,Ledger!$F$5:$F$109,$A20,Ledger!$B$5:$B$109,"Heavens Ark — Otjomuise")</f>
        <v>0</v>
      </c>
    </row>
    <row r="21" spans="1:19" x14ac:dyDescent="0.3">
      <c r="A21" s="32">
        <v>43647</v>
      </c>
      <c r="B21" s="33">
        <f>SUMIFS(Ledger!$D$5:$D$109,Ledger!$F$5:$F$109,$A21)</f>
        <v>-3450000</v>
      </c>
      <c r="C21" s="33">
        <f>SUMIFS(Ledger!$E$5:$E$109,Ledger!$F$5:$F$109,$A21)</f>
        <v>450000</v>
      </c>
      <c r="D21" s="33">
        <f t="shared" si="1"/>
        <v>-3000000</v>
      </c>
      <c r="E21" s="33">
        <f t="shared" si="2"/>
        <v>-3000000</v>
      </c>
      <c r="F21" s="33">
        <f>SUMIFS(Ledger!$C$5:$C$109,Ledger!$F$5:$F$109,$A21,Ledger!$B$5:$B$109,"Erf 1470 Khomasdal")</f>
        <v>0</v>
      </c>
      <c r="G21" s="33">
        <f>SUMIFS(Ledger!$C$5:$C$109,Ledger!$F$5:$F$109,$A21,Ledger!$B$5:$B$109,"Dunescape Villas (Erf 5159)")</f>
        <v>0</v>
      </c>
      <c r="H21" s="33">
        <f>SUMIFS(Ledger!$C$5:$C$109,Ledger!$F$5:$F$109,$A21,Ledger!$B$5:$B$109,"PAM Tree (Erf 5758)")</f>
        <v>0</v>
      </c>
      <c r="I21" s="33">
        <f>SUMIFS(Ledger!$C$5:$C$109,Ledger!$F$5:$F$109,$A21,Ledger!$B$5:$B$109,"Turnstone Villas (Erf 8939)")</f>
        <v>0</v>
      </c>
      <c r="J21" s="33">
        <f>SUMIFS(Ledger!$C$5:$C$109,Ledger!$F$5:$F$109,$A21,Ledger!$B$5:$B$109,"Lithon Nkurenkuru Ext 2")</f>
        <v>0</v>
      </c>
      <c r="K21" s="33">
        <f>SUMIFS(Ledger!$C$5:$C$109,Ledger!$F$5:$F$109,$A21,Ledger!$B$5:$B$109,"Mondesa Palms")</f>
        <v>0</v>
      </c>
      <c r="L21" s="33">
        <f>SUMIFS(Ledger!$C$5:$C$109,Ledger!$F$5:$F$109,$A21,Ledger!$B$5:$B$109,"The Ridge — Rocky Crest Ext 4")</f>
        <v>0</v>
      </c>
      <c r="M21" s="33">
        <f>SUMIFS(Ledger!$C$5:$C$109,Ledger!$F$5:$F$109,$A21,Ledger!$B$5:$B$109,"Mango Cove (Otjomuise Ext 10)")</f>
        <v>0</v>
      </c>
      <c r="N21" s="33">
        <f>SUMIFS(Ledger!$C$5:$C$109,Ledger!$F$5:$F$109,$A21,Ledger!$B$5:$B$109,"C-Breeze Heights")</f>
        <v>0</v>
      </c>
      <c r="O21" s="33">
        <f>SUMIFS(Ledger!$C$5:$C$109,Ledger!$F$5:$F$109,$A21,Ledger!$B$5:$B$109,"Tama Estates")</f>
        <v>0</v>
      </c>
      <c r="P21" s="33">
        <f>SUMIFS(Ledger!$C$5:$C$109,Ledger!$F$5:$F$109,$A21,Ledger!$B$5:$B$109,"Duma Tau — Kronlein")</f>
        <v>-1550000</v>
      </c>
      <c r="Q21" s="33">
        <f>SUMIFS(Ledger!$C$5:$C$109,Ledger!$F$5:$F$109,$A21,Ledger!$B$5:$B$109,"LIH Nkurenkuru Ph 1")</f>
        <v>0</v>
      </c>
      <c r="R21" s="33">
        <f>SUMIFS(Ledger!$C$5:$C$109,Ledger!$F$5:$F$109,$A21,Ledger!$B$5:$B$109,"NIC Otjomuise Ext 10 (Erf 5221)")</f>
        <v>0</v>
      </c>
      <c r="S21" s="33">
        <f>SUMIFS(Ledger!$C$5:$C$109,Ledger!$F$5:$F$109,$A21,Ledger!$B$5:$B$109,"Heavens Ark — Otjomuise")</f>
        <v>0</v>
      </c>
    </row>
    <row r="22" spans="1:19" x14ac:dyDescent="0.3">
      <c r="A22" s="34">
        <v>43709</v>
      </c>
      <c r="B22" s="33">
        <f>SUMIFS(Ledger!$D$5:$D$109,Ledger!$F$5:$F$109,$A22)</f>
        <v>-4123595</v>
      </c>
      <c r="C22" s="33">
        <f>SUMIFS(Ledger!$E$5:$E$109,Ledger!$F$5:$F$109,$A22)</f>
        <v>4123594.94</v>
      </c>
      <c r="D22" s="33">
        <f t="shared" si="1"/>
        <v>-6.0000000055879354E-2</v>
      </c>
      <c r="E22" s="33">
        <f t="shared" si="2"/>
        <v>-6.0000000055879354E-2</v>
      </c>
      <c r="F22" s="33">
        <f>SUMIFS(Ledger!$C$5:$C$109,Ledger!$F$5:$F$109,$A22,Ledger!$B$5:$B$109,"Erf 1470 Khomasdal")</f>
        <v>0</v>
      </c>
      <c r="G22" s="33">
        <f>SUMIFS(Ledger!$C$5:$C$109,Ledger!$F$5:$F$109,$A22,Ledger!$B$5:$B$109,"Dunescape Villas (Erf 5159)")</f>
        <v>0</v>
      </c>
      <c r="H22" s="33">
        <f>SUMIFS(Ledger!$C$5:$C$109,Ledger!$F$5:$F$109,$A22,Ledger!$B$5:$B$109,"PAM Tree (Erf 5758)")</f>
        <v>0</v>
      </c>
      <c r="I22" s="33">
        <f>SUMIFS(Ledger!$C$5:$C$109,Ledger!$F$5:$F$109,$A22,Ledger!$B$5:$B$109,"Turnstone Villas (Erf 8939)")</f>
        <v>0</v>
      </c>
      <c r="J22" s="33">
        <f>SUMIFS(Ledger!$C$5:$C$109,Ledger!$F$5:$F$109,$A22,Ledger!$B$5:$B$109,"Lithon Nkurenkuru Ext 2")</f>
        <v>0</v>
      </c>
      <c r="K22" s="33">
        <f>SUMIFS(Ledger!$C$5:$C$109,Ledger!$F$5:$F$109,$A22,Ledger!$B$5:$B$109,"Mondesa Palms")</f>
        <v>0</v>
      </c>
      <c r="L22" s="33">
        <f>SUMIFS(Ledger!$C$5:$C$109,Ledger!$F$5:$F$109,$A22,Ledger!$B$5:$B$109,"The Ridge — Rocky Crest Ext 4")</f>
        <v>0</v>
      </c>
      <c r="M22" s="33">
        <f>SUMIFS(Ledger!$C$5:$C$109,Ledger!$F$5:$F$109,$A22,Ledger!$B$5:$B$109,"Mango Cove (Otjomuise Ext 10)")</f>
        <v>0</v>
      </c>
      <c r="N22" s="33">
        <f>SUMIFS(Ledger!$C$5:$C$109,Ledger!$F$5:$F$109,$A22,Ledger!$B$5:$B$109,"C-Breeze Heights")</f>
        <v>0</v>
      </c>
      <c r="O22" s="33">
        <f>SUMIFS(Ledger!$C$5:$C$109,Ledger!$F$5:$F$109,$A22,Ledger!$B$5:$B$109,"Tama Estates")</f>
        <v>0</v>
      </c>
      <c r="P22" s="33">
        <f>SUMIFS(Ledger!$C$5:$C$109,Ledger!$F$5:$F$109,$A22,Ledger!$B$5:$B$109,"Duma Tau — Kronlein")</f>
        <v>3269720</v>
      </c>
      <c r="Q22" s="33">
        <f>SUMIFS(Ledger!$C$5:$C$109,Ledger!$F$5:$F$109,$A22,Ledger!$B$5:$B$109,"LIH Nkurenkuru Ph 1")</f>
        <v>0</v>
      </c>
      <c r="R22" s="33">
        <f>SUMIFS(Ledger!$C$5:$C$109,Ledger!$F$5:$F$109,$A22,Ledger!$B$5:$B$109,"NIC Otjomuise Ext 10 (Erf 5221)")</f>
        <v>0</v>
      </c>
      <c r="S22" s="33">
        <f>SUMIFS(Ledger!$C$5:$C$109,Ledger!$F$5:$F$109,$A22,Ledger!$B$5:$B$109,"Heavens Ark — Otjomuise")</f>
        <v>0</v>
      </c>
    </row>
    <row r="23" spans="1:19" x14ac:dyDescent="0.3">
      <c r="A23" s="32">
        <v>43739</v>
      </c>
      <c r="B23" s="33">
        <f>SUMIFS(Ledger!$D$5:$D$109,Ledger!$F$5:$F$109,$A23)</f>
        <v>-1917460</v>
      </c>
      <c r="C23" s="33">
        <f>SUMIFS(Ledger!$E$5:$E$109,Ledger!$F$5:$F$109,$A23)</f>
        <v>5945790.1699999999</v>
      </c>
      <c r="D23" s="33">
        <f t="shared" si="1"/>
        <v>4028330.17</v>
      </c>
      <c r="E23" s="33">
        <f t="shared" si="2"/>
        <v>4028330.17</v>
      </c>
      <c r="F23" s="33">
        <f>SUMIFS(Ledger!$C$5:$C$109,Ledger!$F$5:$F$109,$A23,Ledger!$B$5:$B$109,"Erf 1470 Khomasdal")</f>
        <v>0</v>
      </c>
      <c r="G23" s="33">
        <f>SUMIFS(Ledger!$C$5:$C$109,Ledger!$F$5:$F$109,$A23,Ledger!$B$5:$B$109,"Dunescape Villas (Erf 5159)")</f>
        <v>0</v>
      </c>
      <c r="H23" s="33">
        <f>SUMIFS(Ledger!$C$5:$C$109,Ledger!$F$5:$F$109,$A23,Ledger!$B$5:$B$109,"PAM Tree (Erf 5758)")</f>
        <v>0</v>
      </c>
      <c r="I23" s="33">
        <f>SUMIFS(Ledger!$C$5:$C$109,Ledger!$F$5:$F$109,$A23,Ledger!$B$5:$B$109,"Turnstone Villas (Erf 8939)")</f>
        <v>0</v>
      </c>
      <c r="J23" s="33">
        <f>SUMIFS(Ledger!$C$5:$C$109,Ledger!$F$5:$F$109,$A23,Ledger!$B$5:$B$109,"Lithon Nkurenkuru Ext 2")</f>
        <v>0</v>
      </c>
      <c r="K23" s="33">
        <f>SUMIFS(Ledger!$C$5:$C$109,Ledger!$F$5:$F$109,$A23,Ledger!$B$5:$B$109,"Mondesa Palms")</f>
        <v>0</v>
      </c>
      <c r="L23" s="33">
        <f>SUMIFS(Ledger!$C$5:$C$109,Ledger!$F$5:$F$109,$A23,Ledger!$B$5:$B$109,"The Ridge — Rocky Crest Ext 4")</f>
        <v>0</v>
      </c>
      <c r="M23" s="33">
        <f>SUMIFS(Ledger!$C$5:$C$109,Ledger!$F$5:$F$109,$A23,Ledger!$B$5:$B$109,"Mango Cove (Otjomuise Ext 10)")</f>
        <v>0</v>
      </c>
      <c r="N23" s="33">
        <f>SUMIFS(Ledger!$C$5:$C$109,Ledger!$F$5:$F$109,$A23,Ledger!$B$5:$B$109,"C-Breeze Heights")</f>
        <v>0</v>
      </c>
      <c r="O23" s="33">
        <f>SUMIFS(Ledger!$C$5:$C$109,Ledger!$F$5:$F$109,$A23,Ledger!$B$5:$B$109,"Tama Estates")</f>
        <v>0</v>
      </c>
      <c r="P23" s="33">
        <f>SUMIFS(Ledger!$C$5:$C$109,Ledger!$F$5:$F$109,$A23,Ledger!$B$5:$B$109,"Duma Tau — Kronlein")</f>
        <v>-1917460</v>
      </c>
      <c r="Q23" s="33">
        <f>SUMIFS(Ledger!$C$5:$C$109,Ledger!$F$5:$F$109,$A23,Ledger!$B$5:$B$109,"LIH Nkurenkuru Ph 1")</f>
        <v>0</v>
      </c>
      <c r="R23" s="33">
        <f>SUMIFS(Ledger!$C$5:$C$109,Ledger!$F$5:$F$109,$A23,Ledger!$B$5:$B$109,"NIC Otjomuise Ext 10 (Erf 5221)")</f>
        <v>0</v>
      </c>
      <c r="S23" s="33">
        <f>SUMIFS(Ledger!$C$5:$C$109,Ledger!$F$5:$F$109,$A23,Ledger!$B$5:$B$109,"Heavens Ark — Otjomuise")</f>
        <v>0</v>
      </c>
    </row>
    <row r="24" spans="1:19" x14ac:dyDescent="0.3">
      <c r="A24" s="34">
        <v>43800</v>
      </c>
      <c r="B24" s="33">
        <f>SUMIFS(Ledger!$D$5:$D$109,Ledger!$F$5:$F$109,$A24)</f>
        <v>-1000000</v>
      </c>
      <c r="C24" s="33">
        <f>SUMIFS(Ledger!$E$5:$E$109,Ledger!$F$5:$F$109,$A24)</f>
        <v>38288179.109999999</v>
      </c>
      <c r="D24" s="33">
        <f t="shared" si="1"/>
        <v>37288179.109999999</v>
      </c>
      <c r="E24" s="33">
        <f t="shared" si="2"/>
        <v>37288179.109999999</v>
      </c>
      <c r="F24" s="33">
        <f>SUMIFS(Ledger!$C$5:$C$109,Ledger!$F$5:$F$109,$A24,Ledger!$B$5:$B$109,"Erf 1470 Khomasdal")</f>
        <v>0</v>
      </c>
      <c r="G24" s="33">
        <f>SUMIFS(Ledger!$C$5:$C$109,Ledger!$F$5:$F$109,$A24,Ledger!$B$5:$B$109,"Dunescape Villas (Erf 5159)")</f>
        <v>0</v>
      </c>
      <c r="H24" s="33">
        <f>SUMIFS(Ledger!$C$5:$C$109,Ledger!$F$5:$F$109,$A24,Ledger!$B$5:$B$109,"PAM Tree (Erf 5758)")</f>
        <v>0</v>
      </c>
      <c r="I24" s="33">
        <f>SUMIFS(Ledger!$C$5:$C$109,Ledger!$F$5:$F$109,$A24,Ledger!$B$5:$B$109,"Turnstone Villas (Erf 8939)")</f>
        <v>0</v>
      </c>
      <c r="J24" s="33">
        <f>SUMIFS(Ledger!$C$5:$C$109,Ledger!$F$5:$F$109,$A24,Ledger!$B$5:$B$109,"Lithon Nkurenkuru Ext 2")</f>
        <v>0</v>
      </c>
      <c r="K24" s="33">
        <f>SUMIFS(Ledger!$C$5:$C$109,Ledger!$F$5:$F$109,$A24,Ledger!$B$5:$B$109,"Mondesa Palms")</f>
        <v>0</v>
      </c>
      <c r="L24" s="33">
        <f>SUMIFS(Ledger!$C$5:$C$109,Ledger!$F$5:$F$109,$A24,Ledger!$B$5:$B$109,"The Ridge — Rocky Crest Ext 4")</f>
        <v>0</v>
      </c>
      <c r="M24" s="33">
        <f>SUMIFS(Ledger!$C$5:$C$109,Ledger!$F$5:$F$109,$A24,Ledger!$B$5:$B$109,"Mango Cove (Otjomuise Ext 10)")</f>
        <v>0</v>
      </c>
      <c r="N24" s="33">
        <f>SUMIFS(Ledger!$C$5:$C$109,Ledger!$F$5:$F$109,$A24,Ledger!$B$5:$B$109,"C-Breeze Heights")</f>
        <v>0</v>
      </c>
      <c r="O24" s="33">
        <f>SUMIFS(Ledger!$C$5:$C$109,Ledger!$F$5:$F$109,$A24,Ledger!$B$5:$B$109,"Tama Estates")</f>
        <v>0</v>
      </c>
      <c r="P24" s="33">
        <f>SUMIFS(Ledger!$C$5:$C$109,Ledger!$F$5:$F$109,$A24,Ledger!$B$5:$B$109,"Duma Tau — Kronlein")</f>
        <v>-1000000</v>
      </c>
      <c r="Q24" s="33">
        <f>SUMIFS(Ledger!$C$5:$C$109,Ledger!$F$5:$F$109,$A24,Ledger!$B$5:$B$109,"LIH Nkurenkuru Ph 1")</f>
        <v>0</v>
      </c>
      <c r="R24" s="33">
        <f>SUMIFS(Ledger!$C$5:$C$109,Ledger!$F$5:$F$109,$A24,Ledger!$B$5:$B$109,"NIC Otjomuise Ext 10 (Erf 5221)")</f>
        <v>0</v>
      </c>
      <c r="S24" s="33">
        <f>SUMIFS(Ledger!$C$5:$C$109,Ledger!$F$5:$F$109,$A24,Ledger!$B$5:$B$109,"Heavens Ark — Otjomuise")</f>
        <v>0</v>
      </c>
    </row>
    <row r="25" spans="1:19" x14ac:dyDescent="0.3">
      <c r="A25" s="32">
        <v>43831</v>
      </c>
      <c r="B25" s="33">
        <f>SUMIFS(Ledger!$D$5:$D$109,Ledger!$F$5:$F$109,$A25)</f>
        <v>0</v>
      </c>
      <c r="C25" s="33">
        <f>SUMIFS(Ledger!$E$5:$E$109,Ledger!$F$5:$F$109,$A25)</f>
        <v>8227944.3199999994</v>
      </c>
      <c r="D25" s="33">
        <f t="shared" si="1"/>
        <v>8227944.3199999994</v>
      </c>
      <c r="E25" s="33">
        <f t="shared" si="2"/>
        <v>8227944.3199999994</v>
      </c>
      <c r="F25" s="33">
        <f>SUMIFS(Ledger!$C$5:$C$109,Ledger!$F$5:$F$109,$A25,Ledger!$B$5:$B$109,"Erf 1470 Khomasdal")</f>
        <v>0</v>
      </c>
      <c r="G25" s="33">
        <f>SUMIFS(Ledger!$C$5:$C$109,Ledger!$F$5:$F$109,$A25,Ledger!$B$5:$B$109,"Dunescape Villas (Erf 5159)")</f>
        <v>0</v>
      </c>
      <c r="H25" s="33">
        <f>SUMIFS(Ledger!$C$5:$C$109,Ledger!$F$5:$F$109,$A25,Ledger!$B$5:$B$109,"PAM Tree (Erf 5758)")</f>
        <v>0</v>
      </c>
      <c r="I25" s="33">
        <f>SUMIFS(Ledger!$C$5:$C$109,Ledger!$F$5:$F$109,$A25,Ledger!$B$5:$B$109,"Turnstone Villas (Erf 8939)")</f>
        <v>0</v>
      </c>
      <c r="J25" s="33">
        <f>SUMIFS(Ledger!$C$5:$C$109,Ledger!$F$5:$F$109,$A25,Ledger!$B$5:$B$109,"Lithon Nkurenkuru Ext 2")</f>
        <v>0</v>
      </c>
      <c r="K25" s="33">
        <f>SUMIFS(Ledger!$C$5:$C$109,Ledger!$F$5:$F$109,$A25,Ledger!$B$5:$B$109,"Mondesa Palms")</f>
        <v>0</v>
      </c>
      <c r="L25" s="33">
        <f>SUMIFS(Ledger!$C$5:$C$109,Ledger!$F$5:$F$109,$A25,Ledger!$B$5:$B$109,"The Ridge — Rocky Crest Ext 4")</f>
        <v>0</v>
      </c>
      <c r="M25" s="33">
        <f>SUMIFS(Ledger!$C$5:$C$109,Ledger!$F$5:$F$109,$A25,Ledger!$B$5:$B$109,"Mango Cove (Otjomuise Ext 10)")</f>
        <v>0</v>
      </c>
      <c r="N25" s="33">
        <f>SUMIFS(Ledger!$C$5:$C$109,Ledger!$F$5:$F$109,$A25,Ledger!$B$5:$B$109,"C-Breeze Heights")</f>
        <v>0</v>
      </c>
      <c r="O25" s="33">
        <f>SUMIFS(Ledger!$C$5:$C$109,Ledger!$F$5:$F$109,$A25,Ledger!$B$5:$B$109,"Tama Estates")</f>
        <v>0</v>
      </c>
      <c r="P25" s="33">
        <f>SUMIFS(Ledger!$C$5:$C$109,Ledger!$F$5:$F$109,$A25,Ledger!$B$5:$B$109,"Duma Tau — Kronlein")</f>
        <v>0</v>
      </c>
      <c r="Q25" s="33">
        <f>SUMIFS(Ledger!$C$5:$C$109,Ledger!$F$5:$F$109,$A25,Ledger!$B$5:$B$109,"LIH Nkurenkuru Ph 1")</f>
        <v>0</v>
      </c>
      <c r="R25" s="33">
        <f>SUMIFS(Ledger!$C$5:$C$109,Ledger!$F$5:$F$109,$A25,Ledger!$B$5:$B$109,"NIC Otjomuise Ext 10 (Erf 5221)")</f>
        <v>0</v>
      </c>
      <c r="S25" s="33">
        <f>SUMIFS(Ledger!$C$5:$C$109,Ledger!$F$5:$F$109,$A25,Ledger!$B$5:$B$109,"Heavens Ark — Otjomuise")</f>
        <v>0</v>
      </c>
    </row>
    <row r="26" spans="1:19" x14ac:dyDescent="0.3">
      <c r="A26" s="34">
        <v>43891</v>
      </c>
      <c r="B26" s="33">
        <f>SUMIFS(Ledger!$D$5:$D$109,Ledger!$F$5:$F$109,$A26)</f>
        <v>-7000000</v>
      </c>
      <c r="C26" s="33">
        <f>SUMIFS(Ledger!$E$5:$E$109,Ledger!$F$5:$F$109,$A26)</f>
        <v>22312884.030000001</v>
      </c>
      <c r="D26" s="33">
        <f t="shared" si="1"/>
        <v>15312884.030000001</v>
      </c>
      <c r="E26" s="33">
        <f t="shared" si="2"/>
        <v>15312884.030000001</v>
      </c>
      <c r="F26" s="33">
        <f>SUMIFS(Ledger!$C$5:$C$109,Ledger!$F$5:$F$109,$A26,Ledger!$B$5:$B$109,"Erf 1470 Khomasdal")</f>
        <v>0</v>
      </c>
      <c r="G26" s="33">
        <f>SUMIFS(Ledger!$C$5:$C$109,Ledger!$F$5:$F$109,$A26,Ledger!$B$5:$B$109,"Dunescape Villas (Erf 5159)")</f>
        <v>0</v>
      </c>
      <c r="H26" s="33">
        <f>SUMIFS(Ledger!$C$5:$C$109,Ledger!$F$5:$F$109,$A26,Ledger!$B$5:$B$109,"PAM Tree (Erf 5758)")</f>
        <v>0</v>
      </c>
      <c r="I26" s="33">
        <f>SUMIFS(Ledger!$C$5:$C$109,Ledger!$F$5:$F$109,$A26,Ledger!$B$5:$B$109,"Turnstone Villas (Erf 8939)")</f>
        <v>0</v>
      </c>
      <c r="J26" s="33">
        <f>SUMIFS(Ledger!$C$5:$C$109,Ledger!$F$5:$F$109,$A26,Ledger!$B$5:$B$109,"Lithon Nkurenkuru Ext 2")</f>
        <v>0</v>
      </c>
      <c r="K26" s="33">
        <f>SUMIFS(Ledger!$C$5:$C$109,Ledger!$F$5:$F$109,$A26,Ledger!$B$5:$B$109,"Mondesa Palms")</f>
        <v>0</v>
      </c>
      <c r="L26" s="33">
        <f>SUMIFS(Ledger!$C$5:$C$109,Ledger!$F$5:$F$109,$A26,Ledger!$B$5:$B$109,"The Ridge — Rocky Crest Ext 4")</f>
        <v>0</v>
      </c>
      <c r="M26" s="33">
        <f>SUMIFS(Ledger!$C$5:$C$109,Ledger!$F$5:$F$109,$A26,Ledger!$B$5:$B$109,"Mango Cove (Otjomuise Ext 10)")</f>
        <v>0</v>
      </c>
      <c r="N26" s="33">
        <f>SUMIFS(Ledger!$C$5:$C$109,Ledger!$F$5:$F$109,$A26,Ledger!$B$5:$B$109,"C-Breeze Heights")</f>
        <v>0</v>
      </c>
      <c r="O26" s="33">
        <f>SUMIFS(Ledger!$C$5:$C$109,Ledger!$F$5:$F$109,$A26,Ledger!$B$5:$B$109,"Tama Estates")</f>
        <v>0</v>
      </c>
      <c r="P26" s="33">
        <f>SUMIFS(Ledger!$C$5:$C$109,Ledger!$F$5:$F$109,$A26,Ledger!$B$5:$B$109,"Duma Tau — Kronlein")</f>
        <v>0</v>
      </c>
      <c r="Q26" s="33">
        <f>SUMIFS(Ledger!$C$5:$C$109,Ledger!$F$5:$F$109,$A26,Ledger!$B$5:$B$109,"LIH Nkurenkuru Ph 1")</f>
        <v>0</v>
      </c>
      <c r="R26" s="33">
        <f>SUMIFS(Ledger!$C$5:$C$109,Ledger!$F$5:$F$109,$A26,Ledger!$B$5:$B$109,"NIC Otjomuise Ext 10 (Erf 5221)")</f>
        <v>0</v>
      </c>
      <c r="S26" s="33">
        <f>SUMIFS(Ledger!$C$5:$C$109,Ledger!$F$5:$F$109,$A26,Ledger!$B$5:$B$109,"Heavens Ark — Otjomuise")</f>
        <v>0</v>
      </c>
    </row>
    <row r="27" spans="1:19" x14ac:dyDescent="0.3">
      <c r="A27" s="32">
        <v>44075</v>
      </c>
      <c r="B27" s="33">
        <f>SUMIFS(Ledger!$D$5:$D$109,Ledger!$F$5:$F$109,$A27)</f>
        <v>0</v>
      </c>
      <c r="C27" s="33">
        <f>SUMIFS(Ledger!$E$5:$E$109,Ledger!$F$5:$F$109,$A27)</f>
        <v>7609365.8300000001</v>
      </c>
      <c r="D27" s="33">
        <f t="shared" si="1"/>
        <v>7609365.8300000001</v>
      </c>
      <c r="E27" s="33">
        <f t="shared" si="2"/>
        <v>7609365.8300000001</v>
      </c>
      <c r="F27" s="33">
        <f>SUMIFS(Ledger!$C$5:$C$109,Ledger!$F$5:$F$109,$A27,Ledger!$B$5:$B$109,"Erf 1470 Khomasdal")</f>
        <v>0</v>
      </c>
      <c r="G27" s="33">
        <f>SUMIFS(Ledger!$C$5:$C$109,Ledger!$F$5:$F$109,$A27,Ledger!$B$5:$B$109,"Dunescape Villas (Erf 5159)")</f>
        <v>0</v>
      </c>
      <c r="H27" s="33">
        <f>SUMIFS(Ledger!$C$5:$C$109,Ledger!$F$5:$F$109,$A27,Ledger!$B$5:$B$109,"PAM Tree (Erf 5758)")</f>
        <v>0</v>
      </c>
      <c r="I27" s="33">
        <f>SUMIFS(Ledger!$C$5:$C$109,Ledger!$F$5:$F$109,$A27,Ledger!$B$5:$B$109,"Turnstone Villas (Erf 8939)")</f>
        <v>0</v>
      </c>
      <c r="J27" s="33">
        <f>SUMIFS(Ledger!$C$5:$C$109,Ledger!$F$5:$F$109,$A27,Ledger!$B$5:$B$109,"Lithon Nkurenkuru Ext 2")</f>
        <v>0</v>
      </c>
      <c r="K27" s="33">
        <f>SUMIFS(Ledger!$C$5:$C$109,Ledger!$F$5:$F$109,$A27,Ledger!$B$5:$B$109,"Mondesa Palms")</f>
        <v>0</v>
      </c>
      <c r="L27" s="33">
        <f>SUMIFS(Ledger!$C$5:$C$109,Ledger!$F$5:$F$109,$A27,Ledger!$B$5:$B$109,"The Ridge — Rocky Crest Ext 4")</f>
        <v>0</v>
      </c>
      <c r="M27" s="33">
        <f>SUMIFS(Ledger!$C$5:$C$109,Ledger!$F$5:$F$109,$A27,Ledger!$B$5:$B$109,"Mango Cove (Otjomuise Ext 10)")</f>
        <v>0</v>
      </c>
      <c r="N27" s="33">
        <f>SUMIFS(Ledger!$C$5:$C$109,Ledger!$F$5:$F$109,$A27,Ledger!$B$5:$B$109,"C-Breeze Heights")</f>
        <v>0</v>
      </c>
      <c r="O27" s="33">
        <f>SUMIFS(Ledger!$C$5:$C$109,Ledger!$F$5:$F$109,$A27,Ledger!$B$5:$B$109,"Tama Estates")</f>
        <v>0</v>
      </c>
      <c r="P27" s="33">
        <f>SUMIFS(Ledger!$C$5:$C$109,Ledger!$F$5:$F$109,$A27,Ledger!$B$5:$B$109,"Duma Tau — Kronlein")</f>
        <v>0</v>
      </c>
      <c r="Q27" s="33">
        <f>SUMIFS(Ledger!$C$5:$C$109,Ledger!$F$5:$F$109,$A27,Ledger!$B$5:$B$109,"LIH Nkurenkuru Ph 1")</f>
        <v>0</v>
      </c>
      <c r="R27" s="33">
        <f>SUMIFS(Ledger!$C$5:$C$109,Ledger!$F$5:$F$109,$A27,Ledger!$B$5:$B$109,"NIC Otjomuise Ext 10 (Erf 5221)")</f>
        <v>0</v>
      </c>
      <c r="S27" s="33">
        <f>SUMIFS(Ledger!$C$5:$C$109,Ledger!$F$5:$F$109,$A27,Ledger!$B$5:$B$109,"Heavens Ark — Otjomuise")</f>
        <v>0</v>
      </c>
    </row>
    <row r="28" spans="1:19" x14ac:dyDescent="0.3">
      <c r="A28" s="34">
        <v>44105</v>
      </c>
      <c r="B28" s="33">
        <f>SUMIFS(Ledger!$D$5:$D$109,Ledger!$F$5:$F$109,$A28)</f>
        <v>0</v>
      </c>
      <c r="C28" s="33">
        <f>SUMIFS(Ledger!$E$5:$E$109,Ledger!$F$5:$F$109,$A28)</f>
        <v>948648</v>
      </c>
      <c r="D28" s="33">
        <f t="shared" si="1"/>
        <v>948648</v>
      </c>
      <c r="E28" s="33">
        <f t="shared" si="2"/>
        <v>948648</v>
      </c>
      <c r="F28" s="33">
        <f>SUMIFS(Ledger!$C$5:$C$109,Ledger!$F$5:$F$109,$A28,Ledger!$B$5:$B$109,"Erf 1470 Khomasdal")</f>
        <v>0</v>
      </c>
      <c r="G28" s="33">
        <f>SUMIFS(Ledger!$C$5:$C$109,Ledger!$F$5:$F$109,$A28,Ledger!$B$5:$B$109,"Dunescape Villas (Erf 5159)")</f>
        <v>0</v>
      </c>
      <c r="H28" s="33">
        <f>SUMIFS(Ledger!$C$5:$C$109,Ledger!$F$5:$F$109,$A28,Ledger!$B$5:$B$109,"PAM Tree (Erf 5758)")</f>
        <v>0</v>
      </c>
      <c r="I28" s="33">
        <f>SUMIFS(Ledger!$C$5:$C$109,Ledger!$F$5:$F$109,$A28,Ledger!$B$5:$B$109,"Turnstone Villas (Erf 8939)")</f>
        <v>0</v>
      </c>
      <c r="J28" s="33">
        <f>SUMIFS(Ledger!$C$5:$C$109,Ledger!$F$5:$F$109,$A28,Ledger!$B$5:$B$109,"Lithon Nkurenkuru Ext 2")</f>
        <v>0</v>
      </c>
      <c r="K28" s="33">
        <f>SUMIFS(Ledger!$C$5:$C$109,Ledger!$F$5:$F$109,$A28,Ledger!$B$5:$B$109,"Mondesa Palms")</f>
        <v>0</v>
      </c>
      <c r="L28" s="33">
        <f>SUMIFS(Ledger!$C$5:$C$109,Ledger!$F$5:$F$109,$A28,Ledger!$B$5:$B$109,"The Ridge — Rocky Crest Ext 4")</f>
        <v>0</v>
      </c>
      <c r="M28" s="33">
        <f>SUMIFS(Ledger!$C$5:$C$109,Ledger!$F$5:$F$109,$A28,Ledger!$B$5:$B$109,"Mango Cove (Otjomuise Ext 10)")</f>
        <v>0</v>
      </c>
      <c r="N28" s="33">
        <f>SUMIFS(Ledger!$C$5:$C$109,Ledger!$F$5:$F$109,$A28,Ledger!$B$5:$B$109,"C-Breeze Heights")</f>
        <v>0</v>
      </c>
      <c r="O28" s="33">
        <f>SUMIFS(Ledger!$C$5:$C$109,Ledger!$F$5:$F$109,$A28,Ledger!$B$5:$B$109,"Tama Estates")</f>
        <v>0</v>
      </c>
      <c r="P28" s="33">
        <f>SUMIFS(Ledger!$C$5:$C$109,Ledger!$F$5:$F$109,$A28,Ledger!$B$5:$B$109,"Duma Tau — Kronlein")</f>
        <v>0</v>
      </c>
      <c r="Q28" s="33">
        <f>SUMIFS(Ledger!$C$5:$C$109,Ledger!$F$5:$F$109,$A28,Ledger!$B$5:$B$109,"LIH Nkurenkuru Ph 1")</f>
        <v>0</v>
      </c>
      <c r="R28" s="33">
        <f>SUMIFS(Ledger!$C$5:$C$109,Ledger!$F$5:$F$109,$A28,Ledger!$B$5:$B$109,"NIC Otjomuise Ext 10 (Erf 5221)")</f>
        <v>0</v>
      </c>
      <c r="S28" s="33">
        <f>SUMIFS(Ledger!$C$5:$C$109,Ledger!$F$5:$F$109,$A28,Ledger!$B$5:$B$109,"Heavens Ark — Otjomuise")</f>
        <v>0</v>
      </c>
    </row>
    <row r="29" spans="1:19" x14ac:dyDescent="0.3">
      <c r="A29" s="32">
        <v>44256</v>
      </c>
      <c r="B29" s="33">
        <f>SUMIFS(Ledger!$D$5:$D$109,Ledger!$F$5:$F$109,$A29)</f>
        <v>0</v>
      </c>
      <c r="C29" s="33">
        <f>SUMIFS(Ledger!$E$5:$E$109,Ledger!$F$5:$F$109,$A29)</f>
        <v>11994122.640000001</v>
      </c>
      <c r="D29" s="33">
        <f t="shared" si="1"/>
        <v>11994122.640000001</v>
      </c>
      <c r="E29" s="33">
        <f t="shared" si="2"/>
        <v>11994122.640000001</v>
      </c>
      <c r="F29" s="33">
        <f>SUMIFS(Ledger!$C$5:$C$109,Ledger!$F$5:$F$109,$A29,Ledger!$B$5:$B$109,"Erf 1470 Khomasdal")</f>
        <v>0</v>
      </c>
      <c r="G29" s="33">
        <f>SUMIFS(Ledger!$C$5:$C$109,Ledger!$F$5:$F$109,$A29,Ledger!$B$5:$B$109,"Dunescape Villas (Erf 5159)")</f>
        <v>0</v>
      </c>
      <c r="H29" s="33">
        <f>SUMIFS(Ledger!$C$5:$C$109,Ledger!$F$5:$F$109,$A29,Ledger!$B$5:$B$109,"PAM Tree (Erf 5758)")</f>
        <v>0</v>
      </c>
      <c r="I29" s="33">
        <f>SUMIFS(Ledger!$C$5:$C$109,Ledger!$F$5:$F$109,$A29,Ledger!$B$5:$B$109,"Turnstone Villas (Erf 8939)")</f>
        <v>0</v>
      </c>
      <c r="J29" s="33">
        <f>SUMIFS(Ledger!$C$5:$C$109,Ledger!$F$5:$F$109,$A29,Ledger!$B$5:$B$109,"Lithon Nkurenkuru Ext 2")</f>
        <v>0</v>
      </c>
      <c r="K29" s="33">
        <f>SUMIFS(Ledger!$C$5:$C$109,Ledger!$F$5:$F$109,$A29,Ledger!$B$5:$B$109,"Mondesa Palms")</f>
        <v>0</v>
      </c>
      <c r="L29" s="33">
        <f>SUMIFS(Ledger!$C$5:$C$109,Ledger!$F$5:$F$109,$A29,Ledger!$B$5:$B$109,"The Ridge — Rocky Crest Ext 4")</f>
        <v>0</v>
      </c>
      <c r="M29" s="33">
        <f>SUMIFS(Ledger!$C$5:$C$109,Ledger!$F$5:$F$109,$A29,Ledger!$B$5:$B$109,"Mango Cove (Otjomuise Ext 10)")</f>
        <v>0</v>
      </c>
      <c r="N29" s="33">
        <f>SUMIFS(Ledger!$C$5:$C$109,Ledger!$F$5:$F$109,$A29,Ledger!$B$5:$B$109,"C-Breeze Heights")</f>
        <v>0</v>
      </c>
      <c r="O29" s="33">
        <f>SUMIFS(Ledger!$C$5:$C$109,Ledger!$F$5:$F$109,$A29,Ledger!$B$5:$B$109,"Tama Estates")</f>
        <v>0</v>
      </c>
      <c r="P29" s="33">
        <f>SUMIFS(Ledger!$C$5:$C$109,Ledger!$F$5:$F$109,$A29,Ledger!$B$5:$B$109,"Duma Tau — Kronlein")</f>
        <v>3798648.74</v>
      </c>
      <c r="Q29" s="33">
        <f>SUMIFS(Ledger!$C$5:$C$109,Ledger!$F$5:$F$109,$A29,Ledger!$B$5:$B$109,"LIH Nkurenkuru Ph 1")</f>
        <v>0</v>
      </c>
      <c r="R29" s="33">
        <f>SUMIFS(Ledger!$C$5:$C$109,Ledger!$F$5:$F$109,$A29,Ledger!$B$5:$B$109,"NIC Otjomuise Ext 10 (Erf 5221)")</f>
        <v>0</v>
      </c>
      <c r="S29" s="33">
        <f>SUMIFS(Ledger!$C$5:$C$109,Ledger!$F$5:$F$109,$A29,Ledger!$B$5:$B$109,"Heavens Ark — Otjomuise")</f>
        <v>0</v>
      </c>
    </row>
    <row r="30" spans="1:19" x14ac:dyDescent="0.3">
      <c r="A30" s="34">
        <v>44287</v>
      </c>
      <c r="B30" s="33">
        <f>SUMIFS(Ledger!$D$5:$D$109,Ledger!$F$5:$F$109,$A30)</f>
        <v>0</v>
      </c>
      <c r="C30" s="33">
        <f>SUMIFS(Ledger!$E$5:$E$109,Ledger!$F$5:$F$109,$A30)</f>
        <v>11099288.4</v>
      </c>
      <c r="D30" s="33">
        <f t="shared" si="1"/>
        <v>11099288.4</v>
      </c>
      <c r="E30" s="33">
        <f t="shared" si="2"/>
        <v>11099288.4</v>
      </c>
      <c r="F30" s="33">
        <f>SUMIFS(Ledger!$C$5:$C$109,Ledger!$F$5:$F$109,$A30,Ledger!$B$5:$B$109,"Erf 1470 Khomasdal")</f>
        <v>0</v>
      </c>
      <c r="G30" s="33">
        <f>SUMIFS(Ledger!$C$5:$C$109,Ledger!$F$5:$F$109,$A30,Ledger!$B$5:$B$109,"Dunescape Villas (Erf 5159)")</f>
        <v>0</v>
      </c>
      <c r="H30" s="33">
        <f>SUMIFS(Ledger!$C$5:$C$109,Ledger!$F$5:$F$109,$A30,Ledger!$B$5:$B$109,"PAM Tree (Erf 5758)")</f>
        <v>0</v>
      </c>
      <c r="I30" s="33">
        <f>SUMIFS(Ledger!$C$5:$C$109,Ledger!$F$5:$F$109,$A30,Ledger!$B$5:$B$109,"Turnstone Villas (Erf 8939)")</f>
        <v>0</v>
      </c>
      <c r="J30" s="33">
        <f>SUMIFS(Ledger!$C$5:$C$109,Ledger!$F$5:$F$109,$A30,Ledger!$B$5:$B$109,"Lithon Nkurenkuru Ext 2")</f>
        <v>0</v>
      </c>
      <c r="K30" s="33">
        <f>SUMIFS(Ledger!$C$5:$C$109,Ledger!$F$5:$F$109,$A30,Ledger!$B$5:$B$109,"Mondesa Palms")</f>
        <v>0</v>
      </c>
      <c r="L30" s="33">
        <f>SUMIFS(Ledger!$C$5:$C$109,Ledger!$F$5:$F$109,$A30,Ledger!$B$5:$B$109,"The Ridge — Rocky Crest Ext 4")</f>
        <v>0</v>
      </c>
      <c r="M30" s="33">
        <f>SUMIFS(Ledger!$C$5:$C$109,Ledger!$F$5:$F$109,$A30,Ledger!$B$5:$B$109,"Mango Cove (Otjomuise Ext 10)")</f>
        <v>0</v>
      </c>
      <c r="N30" s="33">
        <f>SUMIFS(Ledger!$C$5:$C$109,Ledger!$F$5:$F$109,$A30,Ledger!$B$5:$B$109,"C-Breeze Heights")</f>
        <v>0</v>
      </c>
      <c r="O30" s="33">
        <f>SUMIFS(Ledger!$C$5:$C$109,Ledger!$F$5:$F$109,$A30,Ledger!$B$5:$B$109,"Tama Estates")</f>
        <v>0</v>
      </c>
      <c r="P30" s="33">
        <f>SUMIFS(Ledger!$C$5:$C$109,Ledger!$F$5:$F$109,$A30,Ledger!$B$5:$B$109,"Duma Tau — Kronlein")</f>
        <v>0</v>
      </c>
      <c r="Q30" s="33">
        <f>SUMIFS(Ledger!$C$5:$C$109,Ledger!$F$5:$F$109,$A30,Ledger!$B$5:$B$109,"LIH Nkurenkuru Ph 1")</f>
        <v>0</v>
      </c>
      <c r="R30" s="33">
        <f>SUMIFS(Ledger!$C$5:$C$109,Ledger!$F$5:$F$109,$A30,Ledger!$B$5:$B$109,"NIC Otjomuise Ext 10 (Erf 5221)")</f>
        <v>0</v>
      </c>
      <c r="S30" s="33">
        <f>SUMIFS(Ledger!$C$5:$C$109,Ledger!$F$5:$F$109,$A30,Ledger!$B$5:$B$109,"Heavens Ark — Otjomuise")</f>
        <v>0</v>
      </c>
    </row>
    <row r="31" spans="1:19" x14ac:dyDescent="0.3">
      <c r="A31" s="32">
        <v>44378</v>
      </c>
      <c r="B31" s="33">
        <f>SUMIFS(Ledger!$D$5:$D$109,Ledger!$F$5:$F$109,$A31)</f>
        <v>0</v>
      </c>
      <c r="C31" s="33">
        <f>SUMIFS(Ledger!$E$5:$E$109,Ledger!$F$5:$F$109,$A31)</f>
        <v>9476082</v>
      </c>
      <c r="D31" s="33">
        <f t="shared" si="1"/>
        <v>9476082</v>
      </c>
      <c r="E31" s="33">
        <f t="shared" si="2"/>
        <v>9476082</v>
      </c>
      <c r="F31" s="33">
        <f>SUMIFS(Ledger!$C$5:$C$109,Ledger!$F$5:$F$109,$A31,Ledger!$B$5:$B$109,"Erf 1470 Khomasdal")</f>
        <v>0</v>
      </c>
      <c r="G31" s="33">
        <f>SUMIFS(Ledger!$C$5:$C$109,Ledger!$F$5:$F$109,$A31,Ledger!$B$5:$B$109,"Dunescape Villas (Erf 5159)")</f>
        <v>0</v>
      </c>
      <c r="H31" s="33">
        <f>SUMIFS(Ledger!$C$5:$C$109,Ledger!$F$5:$F$109,$A31,Ledger!$B$5:$B$109,"PAM Tree (Erf 5758)")</f>
        <v>0</v>
      </c>
      <c r="I31" s="33">
        <f>SUMIFS(Ledger!$C$5:$C$109,Ledger!$F$5:$F$109,$A31,Ledger!$B$5:$B$109,"Turnstone Villas (Erf 8939)")</f>
        <v>0</v>
      </c>
      <c r="J31" s="33">
        <f>SUMIFS(Ledger!$C$5:$C$109,Ledger!$F$5:$F$109,$A31,Ledger!$B$5:$B$109,"Lithon Nkurenkuru Ext 2")</f>
        <v>0</v>
      </c>
      <c r="K31" s="33">
        <f>SUMIFS(Ledger!$C$5:$C$109,Ledger!$F$5:$F$109,$A31,Ledger!$B$5:$B$109,"Mondesa Palms")</f>
        <v>0</v>
      </c>
      <c r="L31" s="33">
        <f>SUMIFS(Ledger!$C$5:$C$109,Ledger!$F$5:$F$109,$A31,Ledger!$B$5:$B$109,"The Ridge — Rocky Crest Ext 4")</f>
        <v>0</v>
      </c>
      <c r="M31" s="33">
        <f>SUMIFS(Ledger!$C$5:$C$109,Ledger!$F$5:$F$109,$A31,Ledger!$B$5:$B$109,"Mango Cove (Otjomuise Ext 10)")</f>
        <v>0</v>
      </c>
      <c r="N31" s="33">
        <f>SUMIFS(Ledger!$C$5:$C$109,Ledger!$F$5:$F$109,$A31,Ledger!$B$5:$B$109,"C-Breeze Heights")</f>
        <v>0</v>
      </c>
      <c r="O31" s="33">
        <f>SUMIFS(Ledger!$C$5:$C$109,Ledger!$F$5:$F$109,$A31,Ledger!$B$5:$B$109,"Tama Estates")</f>
        <v>0</v>
      </c>
      <c r="P31" s="33">
        <f>SUMIFS(Ledger!$C$5:$C$109,Ledger!$F$5:$F$109,$A31,Ledger!$B$5:$B$109,"Duma Tau — Kronlein")</f>
        <v>0</v>
      </c>
      <c r="Q31" s="33">
        <f>SUMIFS(Ledger!$C$5:$C$109,Ledger!$F$5:$F$109,$A31,Ledger!$B$5:$B$109,"LIH Nkurenkuru Ph 1")</f>
        <v>0</v>
      </c>
      <c r="R31" s="33">
        <f>SUMIFS(Ledger!$C$5:$C$109,Ledger!$F$5:$F$109,$A31,Ledger!$B$5:$B$109,"NIC Otjomuise Ext 10 (Erf 5221)")</f>
        <v>0</v>
      </c>
      <c r="S31" s="33">
        <f>SUMIFS(Ledger!$C$5:$C$109,Ledger!$F$5:$F$109,$A31,Ledger!$B$5:$B$109,"Heavens Ark — Otjomuise")</f>
        <v>0</v>
      </c>
    </row>
    <row r="32" spans="1:19" x14ac:dyDescent="0.3">
      <c r="A32" s="34">
        <v>44440</v>
      </c>
      <c r="B32" s="33">
        <f>SUMIFS(Ledger!$D$5:$D$109,Ledger!$F$5:$F$109,$A32)</f>
        <v>0</v>
      </c>
      <c r="C32" s="33">
        <f>SUMIFS(Ledger!$E$5:$E$109,Ledger!$F$5:$F$109,$A32)</f>
        <v>10117520.5</v>
      </c>
      <c r="D32" s="33">
        <f t="shared" si="1"/>
        <v>10117520.5</v>
      </c>
      <c r="E32" s="33">
        <f t="shared" si="2"/>
        <v>10117520.5</v>
      </c>
      <c r="F32" s="33">
        <f>SUMIFS(Ledger!$C$5:$C$109,Ledger!$F$5:$F$109,$A32,Ledger!$B$5:$B$109,"Erf 1470 Khomasdal")</f>
        <v>0</v>
      </c>
      <c r="G32" s="33">
        <f>SUMIFS(Ledger!$C$5:$C$109,Ledger!$F$5:$F$109,$A32,Ledger!$B$5:$B$109,"Dunescape Villas (Erf 5159)")</f>
        <v>0</v>
      </c>
      <c r="H32" s="33">
        <f>SUMIFS(Ledger!$C$5:$C$109,Ledger!$F$5:$F$109,$A32,Ledger!$B$5:$B$109,"PAM Tree (Erf 5758)")</f>
        <v>0</v>
      </c>
      <c r="I32" s="33">
        <f>SUMIFS(Ledger!$C$5:$C$109,Ledger!$F$5:$F$109,$A32,Ledger!$B$5:$B$109,"Turnstone Villas (Erf 8939)")</f>
        <v>0</v>
      </c>
      <c r="J32" s="33">
        <f>SUMIFS(Ledger!$C$5:$C$109,Ledger!$F$5:$F$109,$A32,Ledger!$B$5:$B$109,"Lithon Nkurenkuru Ext 2")</f>
        <v>0</v>
      </c>
      <c r="K32" s="33">
        <f>SUMIFS(Ledger!$C$5:$C$109,Ledger!$F$5:$F$109,$A32,Ledger!$B$5:$B$109,"Mondesa Palms")</f>
        <v>0</v>
      </c>
      <c r="L32" s="33">
        <f>SUMIFS(Ledger!$C$5:$C$109,Ledger!$F$5:$F$109,$A32,Ledger!$B$5:$B$109,"The Ridge — Rocky Crest Ext 4")</f>
        <v>0</v>
      </c>
      <c r="M32" s="33">
        <f>SUMIFS(Ledger!$C$5:$C$109,Ledger!$F$5:$F$109,$A32,Ledger!$B$5:$B$109,"Mango Cove (Otjomuise Ext 10)")</f>
        <v>0</v>
      </c>
      <c r="N32" s="33">
        <f>SUMIFS(Ledger!$C$5:$C$109,Ledger!$F$5:$F$109,$A32,Ledger!$B$5:$B$109,"C-Breeze Heights")</f>
        <v>0</v>
      </c>
      <c r="O32" s="33">
        <f>SUMIFS(Ledger!$C$5:$C$109,Ledger!$F$5:$F$109,$A32,Ledger!$B$5:$B$109,"Tama Estates")</f>
        <v>0</v>
      </c>
      <c r="P32" s="33">
        <f>SUMIFS(Ledger!$C$5:$C$109,Ledger!$F$5:$F$109,$A32,Ledger!$B$5:$B$109,"Duma Tau — Kronlein")</f>
        <v>1152462.5</v>
      </c>
      <c r="Q32" s="33">
        <f>SUMIFS(Ledger!$C$5:$C$109,Ledger!$F$5:$F$109,$A32,Ledger!$B$5:$B$109,"LIH Nkurenkuru Ph 1")</f>
        <v>0</v>
      </c>
      <c r="R32" s="33">
        <f>SUMIFS(Ledger!$C$5:$C$109,Ledger!$F$5:$F$109,$A32,Ledger!$B$5:$B$109,"NIC Otjomuise Ext 10 (Erf 5221)")</f>
        <v>0</v>
      </c>
      <c r="S32" s="33">
        <f>SUMIFS(Ledger!$C$5:$C$109,Ledger!$F$5:$F$109,$A32,Ledger!$B$5:$B$109,"Heavens Ark — Otjomuise")</f>
        <v>0</v>
      </c>
    </row>
    <row r="33" spans="1:19" x14ac:dyDescent="0.3">
      <c r="A33" s="32">
        <v>44501</v>
      </c>
      <c r="B33" s="33">
        <f>SUMIFS(Ledger!$D$5:$D$109,Ledger!$F$5:$F$109,$A33)</f>
        <v>0</v>
      </c>
      <c r="C33" s="33">
        <f>SUMIFS(Ledger!$E$5:$E$109,Ledger!$F$5:$F$109,$A33)</f>
        <v>7613174.5199999996</v>
      </c>
      <c r="D33" s="33">
        <f t="shared" si="1"/>
        <v>7613174.5199999996</v>
      </c>
      <c r="E33" s="33">
        <f t="shared" si="2"/>
        <v>7613174.5199999996</v>
      </c>
      <c r="F33" s="33">
        <f>SUMIFS(Ledger!$C$5:$C$109,Ledger!$F$5:$F$109,$A33,Ledger!$B$5:$B$109,"Erf 1470 Khomasdal")</f>
        <v>0</v>
      </c>
      <c r="G33" s="33">
        <f>SUMIFS(Ledger!$C$5:$C$109,Ledger!$F$5:$F$109,$A33,Ledger!$B$5:$B$109,"Dunescape Villas (Erf 5159)")</f>
        <v>0</v>
      </c>
      <c r="H33" s="33">
        <f>SUMIFS(Ledger!$C$5:$C$109,Ledger!$F$5:$F$109,$A33,Ledger!$B$5:$B$109,"PAM Tree (Erf 5758)")</f>
        <v>0</v>
      </c>
      <c r="I33" s="33">
        <f>SUMIFS(Ledger!$C$5:$C$109,Ledger!$F$5:$F$109,$A33,Ledger!$B$5:$B$109,"Turnstone Villas (Erf 8939)")</f>
        <v>0</v>
      </c>
      <c r="J33" s="33">
        <f>SUMIFS(Ledger!$C$5:$C$109,Ledger!$F$5:$F$109,$A33,Ledger!$B$5:$B$109,"Lithon Nkurenkuru Ext 2")</f>
        <v>0</v>
      </c>
      <c r="K33" s="33">
        <f>SUMIFS(Ledger!$C$5:$C$109,Ledger!$F$5:$F$109,$A33,Ledger!$B$5:$B$109,"Mondesa Palms")</f>
        <v>0</v>
      </c>
      <c r="L33" s="33">
        <f>SUMIFS(Ledger!$C$5:$C$109,Ledger!$F$5:$F$109,$A33,Ledger!$B$5:$B$109,"The Ridge — Rocky Crest Ext 4")</f>
        <v>0</v>
      </c>
      <c r="M33" s="33">
        <f>SUMIFS(Ledger!$C$5:$C$109,Ledger!$F$5:$F$109,$A33,Ledger!$B$5:$B$109,"Mango Cove (Otjomuise Ext 10)")</f>
        <v>0</v>
      </c>
      <c r="N33" s="33">
        <f>SUMIFS(Ledger!$C$5:$C$109,Ledger!$F$5:$F$109,$A33,Ledger!$B$5:$B$109,"C-Breeze Heights")</f>
        <v>0</v>
      </c>
      <c r="O33" s="33">
        <f>SUMIFS(Ledger!$C$5:$C$109,Ledger!$F$5:$F$109,$A33,Ledger!$B$5:$B$109,"Tama Estates")</f>
        <v>0</v>
      </c>
      <c r="P33" s="33">
        <f>SUMIFS(Ledger!$C$5:$C$109,Ledger!$F$5:$F$109,$A33,Ledger!$B$5:$B$109,"Duma Tau — Kronlein")</f>
        <v>737907.5</v>
      </c>
      <c r="Q33" s="33">
        <f>SUMIFS(Ledger!$C$5:$C$109,Ledger!$F$5:$F$109,$A33,Ledger!$B$5:$B$109,"LIH Nkurenkuru Ph 1")</f>
        <v>0</v>
      </c>
      <c r="R33" s="33">
        <f>SUMIFS(Ledger!$C$5:$C$109,Ledger!$F$5:$F$109,$A33,Ledger!$B$5:$B$109,"NIC Otjomuise Ext 10 (Erf 5221)")</f>
        <v>0</v>
      </c>
      <c r="S33" s="33">
        <f>SUMIFS(Ledger!$C$5:$C$109,Ledger!$F$5:$F$109,$A33,Ledger!$B$5:$B$109,"Heavens Ark — Otjomuise")</f>
        <v>0</v>
      </c>
    </row>
    <row r="34" spans="1:19" x14ac:dyDescent="0.3">
      <c r="A34" s="34">
        <v>44531</v>
      </c>
      <c r="B34" s="33">
        <f>SUMIFS(Ledger!$D$5:$D$109,Ledger!$F$5:$F$109,$A34)</f>
        <v>0</v>
      </c>
      <c r="C34" s="33">
        <f>SUMIFS(Ledger!$E$5:$E$109,Ledger!$F$5:$F$109,$A34)</f>
        <v>4575267.76</v>
      </c>
      <c r="D34" s="33">
        <f t="shared" si="1"/>
        <v>4575267.76</v>
      </c>
      <c r="E34" s="33">
        <f t="shared" si="2"/>
        <v>4575267.76</v>
      </c>
      <c r="F34" s="33">
        <f>SUMIFS(Ledger!$C$5:$C$109,Ledger!$F$5:$F$109,$A34,Ledger!$B$5:$B$109,"Erf 1470 Khomasdal")</f>
        <v>0</v>
      </c>
      <c r="G34" s="33">
        <f>SUMIFS(Ledger!$C$5:$C$109,Ledger!$F$5:$F$109,$A34,Ledger!$B$5:$B$109,"Dunescape Villas (Erf 5159)")</f>
        <v>0</v>
      </c>
      <c r="H34" s="33">
        <f>SUMIFS(Ledger!$C$5:$C$109,Ledger!$F$5:$F$109,$A34,Ledger!$B$5:$B$109,"PAM Tree (Erf 5758)")</f>
        <v>0</v>
      </c>
      <c r="I34" s="33">
        <f>SUMIFS(Ledger!$C$5:$C$109,Ledger!$F$5:$F$109,$A34,Ledger!$B$5:$B$109,"Turnstone Villas (Erf 8939)")</f>
        <v>0</v>
      </c>
      <c r="J34" s="33">
        <f>SUMIFS(Ledger!$C$5:$C$109,Ledger!$F$5:$F$109,$A34,Ledger!$B$5:$B$109,"Lithon Nkurenkuru Ext 2")</f>
        <v>0</v>
      </c>
      <c r="K34" s="33">
        <f>SUMIFS(Ledger!$C$5:$C$109,Ledger!$F$5:$F$109,$A34,Ledger!$B$5:$B$109,"Mondesa Palms")</f>
        <v>0</v>
      </c>
      <c r="L34" s="33">
        <f>SUMIFS(Ledger!$C$5:$C$109,Ledger!$F$5:$F$109,$A34,Ledger!$B$5:$B$109,"The Ridge — Rocky Crest Ext 4")</f>
        <v>0</v>
      </c>
      <c r="M34" s="33">
        <f>SUMIFS(Ledger!$C$5:$C$109,Ledger!$F$5:$F$109,$A34,Ledger!$B$5:$B$109,"Mango Cove (Otjomuise Ext 10)")</f>
        <v>0</v>
      </c>
      <c r="N34" s="33">
        <f>SUMIFS(Ledger!$C$5:$C$109,Ledger!$F$5:$F$109,$A34,Ledger!$B$5:$B$109,"C-Breeze Heights")</f>
        <v>0</v>
      </c>
      <c r="O34" s="33">
        <f>SUMIFS(Ledger!$C$5:$C$109,Ledger!$F$5:$F$109,$A34,Ledger!$B$5:$B$109,"Tama Estates")</f>
        <v>0</v>
      </c>
      <c r="P34" s="33">
        <f>SUMIFS(Ledger!$C$5:$C$109,Ledger!$F$5:$F$109,$A34,Ledger!$B$5:$B$109,"Duma Tau — Kronlein")</f>
        <v>3481490.1</v>
      </c>
      <c r="Q34" s="33">
        <f>SUMIFS(Ledger!$C$5:$C$109,Ledger!$F$5:$F$109,$A34,Ledger!$B$5:$B$109,"LIH Nkurenkuru Ph 1")</f>
        <v>0</v>
      </c>
      <c r="R34" s="33">
        <f>SUMIFS(Ledger!$C$5:$C$109,Ledger!$F$5:$F$109,$A34,Ledger!$B$5:$B$109,"NIC Otjomuise Ext 10 (Erf 5221)")</f>
        <v>0</v>
      </c>
      <c r="S34" s="33">
        <f>SUMIFS(Ledger!$C$5:$C$109,Ledger!$F$5:$F$109,$A34,Ledger!$B$5:$B$109,"Heavens Ark — Otjomuise")</f>
        <v>0</v>
      </c>
    </row>
    <row r="35" spans="1:19" x14ac:dyDescent="0.3">
      <c r="A35" s="34">
        <v>44682</v>
      </c>
      <c r="B35" s="33">
        <f>SUMIFS(Ledger!$D$5:$D$109,Ledger!$F$5:$F$109,$A35)</f>
        <v>-5500000</v>
      </c>
      <c r="C35" s="33">
        <f>SUMIFS(Ledger!$E$5:$E$109,Ledger!$F$5:$F$109,$A35)</f>
        <v>0</v>
      </c>
      <c r="D35" s="33">
        <f t="shared" ref="D35" si="3">B35+C35</f>
        <v>-5500000</v>
      </c>
      <c r="E35" s="33">
        <f>E34+D35</f>
        <v>-924732.24000000022</v>
      </c>
      <c r="F35" s="33">
        <f>SUMIFS(Ledger!$C$5:$C$109,Ledger!$F$5:$F$109,$A35,Ledger!$B$5:$B$109,"Erf 1470 Khomasdal")</f>
        <v>0</v>
      </c>
      <c r="G35" s="33">
        <f>SUMIFS(Ledger!$C$5:$C$109,Ledger!$F$5:$F$109,$A35,Ledger!$B$5:$B$109,"Dunescape Villas (Erf 5159)")</f>
        <v>0</v>
      </c>
      <c r="H35" s="33">
        <f>SUMIFS(Ledger!$C$5:$C$109,Ledger!$F$5:$F$109,$A35,Ledger!$B$5:$B$109,"PAM Tree (Erf 5758)")</f>
        <v>0</v>
      </c>
      <c r="I35" s="33">
        <f>SUMIFS(Ledger!$C$5:$C$109,Ledger!$F$5:$F$109,$A35,Ledger!$B$5:$B$109,"Turnstone Villas (Erf 8939)")</f>
        <v>0</v>
      </c>
      <c r="J35" s="33">
        <f>SUMIFS(Ledger!$C$5:$C$109,Ledger!$F$5:$F$109,$A35,Ledger!$B$5:$B$109,"Lithon Nkurenkuru Ext 2")</f>
        <v>0</v>
      </c>
      <c r="K35" s="33">
        <f>SUMIFS(Ledger!$C$5:$C$109,Ledger!$F$5:$F$109,$A35,Ledger!$B$5:$B$109,"Mondesa Palms")</f>
        <v>0</v>
      </c>
      <c r="L35" s="33">
        <f>SUMIFS(Ledger!$C$5:$C$109,Ledger!$F$5:$F$109,$A35,Ledger!$B$5:$B$109,"The Ridge — Rocky Crest Ext 4")</f>
        <v>0</v>
      </c>
      <c r="M35" s="33">
        <f>SUMIFS(Ledger!$C$5:$C$109,Ledger!$F$5:$F$109,$A35,Ledger!$B$5:$B$109,"Mango Cove (Otjomuise Ext 10)")</f>
        <v>0</v>
      </c>
      <c r="N35" s="33">
        <f>SUMIFS(Ledger!$C$5:$C$109,Ledger!$F$5:$F$109,$A35,Ledger!$B$5:$B$109,"C-Breeze Heights")</f>
        <v>0</v>
      </c>
      <c r="O35" s="33">
        <f>SUMIFS(Ledger!$C$5:$C$109,Ledger!$F$5:$F$109,$A35,Ledger!$B$5:$B$109,"Tama Estates")</f>
        <v>0</v>
      </c>
      <c r="P35" s="33">
        <f>SUMIFS(Ledger!$C$5:$C$109,Ledger!$F$5:$F$109,$A35,Ledger!$B$5:$B$109,"Duma Tau — Kronlein")</f>
        <v>0</v>
      </c>
      <c r="Q35" s="33">
        <f>SUMIFS(Ledger!$C$5:$C$109,Ledger!$F$5:$F$109,$A35,Ledger!$B$5:$B$109,"LIH Nkurenkuru Ph 1")</f>
        <v>0</v>
      </c>
      <c r="R35" s="33">
        <f>SUMIFS(Ledger!$C$5:$C$109,Ledger!$F$5:$F$109,$A35,Ledger!$B$5:$B$109,"NIC Otjomuise Ext 10 (Erf 5221)")</f>
        <v>0</v>
      </c>
      <c r="S35" s="33">
        <f>SUMIFS(Ledger!$C$5:$C$109,Ledger!$F$5:$F$109,$A35,Ledger!$B$5:$B$109,"Heavens Ark — Otjomuise")</f>
        <v>0</v>
      </c>
    </row>
    <row r="36" spans="1:19" x14ac:dyDescent="0.3">
      <c r="A36" s="32">
        <v>44774</v>
      </c>
      <c r="B36" s="33">
        <f>SUMIFS(Ledger!$D$5:$D$109,Ledger!$F$5:$F$109,$A36)</f>
        <v>-7000000</v>
      </c>
      <c r="C36" s="33">
        <f>SUMIFS(Ledger!$E$5:$E$109,Ledger!$F$5:$F$109,$A36)</f>
        <v>0</v>
      </c>
      <c r="D36" s="33">
        <f t="shared" si="1"/>
        <v>-7000000</v>
      </c>
      <c r="E36" s="33">
        <f t="shared" si="2"/>
        <v>-7000000</v>
      </c>
      <c r="F36" s="33">
        <f>SUMIFS(Ledger!$C$5:$C$109,Ledger!$F$5:$F$109,$A36,Ledger!$B$5:$B$109,"Erf 1470 Khomasdal")</f>
        <v>0</v>
      </c>
      <c r="G36" s="33">
        <f>SUMIFS(Ledger!$C$5:$C$109,Ledger!$F$5:$F$109,$A36,Ledger!$B$5:$B$109,"Dunescape Villas (Erf 5159)")</f>
        <v>0</v>
      </c>
      <c r="H36" s="33">
        <f>SUMIFS(Ledger!$C$5:$C$109,Ledger!$F$5:$F$109,$A36,Ledger!$B$5:$B$109,"PAM Tree (Erf 5758)")</f>
        <v>0</v>
      </c>
      <c r="I36" s="33">
        <f>SUMIFS(Ledger!$C$5:$C$109,Ledger!$F$5:$F$109,$A36,Ledger!$B$5:$B$109,"Turnstone Villas (Erf 8939)")</f>
        <v>0</v>
      </c>
      <c r="J36" s="33">
        <f>SUMIFS(Ledger!$C$5:$C$109,Ledger!$F$5:$F$109,$A36,Ledger!$B$5:$B$109,"Lithon Nkurenkuru Ext 2")</f>
        <v>0</v>
      </c>
      <c r="K36" s="33">
        <f>SUMIFS(Ledger!$C$5:$C$109,Ledger!$F$5:$F$109,$A36,Ledger!$B$5:$B$109,"Mondesa Palms")</f>
        <v>0</v>
      </c>
      <c r="L36" s="33">
        <f>SUMIFS(Ledger!$C$5:$C$109,Ledger!$F$5:$F$109,$A36,Ledger!$B$5:$B$109,"The Ridge — Rocky Crest Ext 4")</f>
        <v>0</v>
      </c>
      <c r="M36" s="33">
        <f>SUMIFS(Ledger!$C$5:$C$109,Ledger!$F$5:$F$109,$A36,Ledger!$B$5:$B$109,"Mango Cove (Otjomuise Ext 10)")</f>
        <v>0</v>
      </c>
      <c r="N36" s="33">
        <f>SUMIFS(Ledger!$C$5:$C$109,Ledger!$F$5:$F$109,$A36,Ledger!$B$5:$B$109,"C-Breeze Heights")</f>
        <v>0</v>
      </c>
      <c r="O36" s="33">
        <f>SUMIFS(Ledger!$C$5:$C$109,Ledger!$F$5:$F$109,$A36,Ledger!$B$5:$B$109,"Tama Estates")</f>
        <v>0</v>
      </c>
      <c r="P36" s="33">
        <f>SUMIFS(Ledger!$C$5:$C$109,Ledger!$F$5:$F$109,$A36,Ledger!$B$5:$B$109,"Duma Tau — Kronlein")</f>
        <v>0</v>
      </c>
      <c r="Q36" s="33">
        <f>SUMIFS(Ledger!$C$5:$C$109,Ledger!$F$5:$F$109,$A36,Ledger!$B$5:$B$109,"LIH Nkurenkuru Ph 1")</f>
        <v>0</v>
      </c>
      <c r="R36" s="33">
        <f>SUMIFS(Ledger!$C$5:$C$109,Ledger!$F$5:$F$109,$A36,Ledger!$B$5:$B$109,"NIC Otjomuise Ext 10 (Erf 5221)")</f>
        <v>0</v>
      </c>
      <c r="S36" s="33">
        <f>SUMIFS(Ledger!$C$5:$C$109,Ledger!$F$5:$F$109,$A36,Ledger!$B$5:$B$109,"Heavens Ark — Otjomuise")</f>
        <v>0</v>
      </c>
    </row>
    <row r="37" spans="1:19" x14ac:dyDescent="0.3">
      <c r="A37" s="34">
        <v>44866</v>
      </c>
      <c r="B37" s="33">
        <f>SUMIFS(Ledger!$D$5:$D$109,Ledger!$F$5:$F$109,$A37)</f>
        <v>0</v>
      </c>
      <c r="C37" s="33">
        <f>SUMIFS(Ledger!$E$5:$E$109,Ledger!$F$5:$F$109,$A37)</f>
        <v>0</v>
      </c>
      <c r="D37" s="33">
        <f t="shared" si="1"/>
        <v>0</v>
      </c>
      <c r="E37" s="33">
        <f t="shared" si="2"/>
        <v>0</v>
      </c>
      <c r="F37" s="33">
        <f>SUMIFS(Ledger!$C$5:$C$109,Ledger!$F$5:$F$109,$A37,Ledger!$B$5:$B$109,"Erf 1470 Khomasdal")</f>
        <v>0</v>
      </c>
      <c r="G37" s="33">
        <f>SUMIFS(Ledger!$C$5:$C$109,Ledger!$F$5:$F$109,$A37,Ledger!$B$5:$B$109,"Dunescape Villas (Erf 5159)")</f>
        <v>0</v>
      </c>
      <c r="H37" s="33">
        <f>SUMIFS(Ledger!$C$5:$C$109,Ledger!$F$5:$F$109,$A37,Ledger!$B$5:$B$109,"PAM Tree (Erf 5758)")</f>
        <v>0</v>
      </c>
      <c r="I37" s="33">
        <f>SUMIFS(Ledger!$C$5:$C$109,Ledger!$F$5:$F$109,$A37,Ledger!$B$5:$B$109,"Turnstone Villas (Erf 8939)")</f>
        <v>0</v>
      </c>
      <c r="J37" s="33">
        <f>SUMIFS(Ledger!$C$5:$C$109,Ledger!$F$5:$F$109,$A37,Ledger!$B$5:$B$109,"Lithon Nkurenkuru Ext 2")</f>
        <v>0</v>
      </c>
      <c r="K37" s="33">
        <f>SUMIFS(Ledger!$C$5:$C$109,Ledger!$F$5:$F$109,$A37,Ledger!$B$5:$B$109,"Mondesa Palms")</f>
        <v>0</v>
      </c>
      <c r="L37" s="33">
        <f>SUMIFS(Ledger!$C$5:$C$109,Ledger!$F$5:$F$109,$A37,Ledger!$B$5:$B$109,"The Ridge — Rocky Crest Ext 4")</f>
        <v>0</v>
      </c>
      <c r="M37" s="33">
        <f>SUMIFS(Ledger!$C$5:$C$109,Ledger!$F$5:$F$109,$A37,Ledger!$B$5:$B$109,"Mango Cove (Otjomuise Ext 10)")</f>
        <v>0</v>
      </c>
      <c r="N37" s="33">
        <f>SUMIFS(Ledger!$C$5:$C$109,Ledger!$F$5:$F$109,$A37,Ledger!$B$5:$B$109,"C-Breeze Heights")</f>
        <v>0</v>
      </c>
      <c r="O37" s="33">
        <f>SUMIFS(Ledger!$C$5:$C$109,Ledger!$F$5:$F$109,$A37,Ledger!$B$5:$B$109,"Tama Estates")</f>
        <v>0</v>
      </c>
      <c r="P37" s="33">
        <f>SUMIFS(Ledger!$C$5:$C$109,Ledger!$F$5:$F$109,$A37,Ledger!$B$5:$B$109,"Duma Tau — Kronlein")</f>
        <v>0</v>
      </c>
      <c r="Q37" s="33">
        <f>SUMIFS(Ledger!$C$5:$C$109,Ledger!$F$5:$F$109,$A37,Ledger!$B$5:$B$109,"LIH Nkurenkuru Ph 1")</f>
        <v>0</v>
      </c>
      <c r="R37" s="33">
        <f>SUMIFS(Ledger!$C$5:$C$109,Ledger!$F$5:$F$109,$A37,Ledger!$B$5:$B$109,"NIC Otjomuise Ext 10 (Erf 5221)")</f>
        <v>0</v>
      </c>
      <c r="S37" s="33">
        <f>SUMIFS(Ledger!$C$5:$C$109,Ledger!$F$5:$F$109,$A37,Ledger!$B$5:$B$109,"Heavens Ark — Otjomuise")</f>
        <v>0</v>
      </c>
    </row>
    <row r="38" spans="1:19" x14ac:dyDescent="0.3">
      <c r="A38" s="32">
        <v>44896</v>
      </c>
      <c r="B38" s="33">
        <f>SUMIFS(Ledger!$D$5:$D$109,Ledger!$F$5:$F$109,$A38)</f>
        <v>0</v>
      </c>
      <c r="C38" s="33">
        <f>SUMIFS(Ledger!$E$5:$E$109,Ledger!$F$5:$F$109,$A38)</f>
        <v>0</v>
      </c>
      <c r="D38" s="33">
        <f t="shared" si="1"/>
        <v>0</v>
      </c>
      <c r="E38" s="33">
        <f t="shared" si="2"/>
        <v>0</v>
      </c>
      <c r="F38" s="33">
        <f>SUMIFS(Ledger!$C$5:$C$109,Ledger!$F$5:$F$109,$A38,Ledger!$B$5:$B$109,"Erf 1470 Khomasdal")</f>
        <v>0</v>
      </c>
      <c r="G38" s="33">
        <f>SUMIFS(Ledger!$C$5:$C$109,Ledger!$F$5:$F$109,$A38,Ledger!$B$5:$B$109,"Dunescape Villas (Erf 5159)")</f>
        <v>0</v>
      </c>
      <c r="H38" s="33">
        <f>SUMIFS(Ledger!$C$5:$C$109,Ledger!$F$5:$F$109,$A38,Ledger!$B$5:$B$109,"PAM Tree (Erf 5758)")</f>
        <v>0</v>
      </c>
      <c r="I38" s="33">
        <f>SUMIFS(Ledger!$C$5:$C$109,Ledger!$F$5:$F$109,$A38,Ledger!$B$5:$B$109,"Turnstone Villas (Erf 8939)")</f>
        <v>0</v>
      </c>
      <c r="J38" s="33">
        <f>SUMIFS(Ledger!$C$5:$C$109,Ledger!$F$5:$F$109,$A38,Ledger!$B$5:$B$109,"Lithon Nkurenkuru Ext 2")</f>
        <v>0</v>
      </c>
      <c r="K38" s="33">
        <f>SUMIFS(Ledger!$C$5:$C$109,Ledger!$F$5:$F$109,$A38,Ledger!$B$5:$B$109,"Mondesa Palms")</f>
        <v>0</v>
      </c>
      <c r="L38" s="33">
        <f>SUMIFS(Ledger!$C$5:$C$109,Ledger!$F$5:$F$109,$A38,Ledger!$B$5:$B$109,"The Ridge — Rocky Crest Ext 4")</f>
        <v>0</v>
      </c>
      <c r="M38" s="33">
        <f>SUMIFS(Ledger!$C$5:$C$109,Ledger!$F$5:$F$109,$A38,Ledger!$B$5:$B$109,"Mango Cove (Otjomuise Ext 10)")</f>
        <v>0</v>
      </c>
      <c r="N38" s="33">
        <f>SUMIFS(Ledger!$C$5:$C$109,Ledger!$F$5:$F$109,$A38,Ledger!$B$5:$B$109,"C-Breeze Heights")</f>
        <v>0</v>
      </c>
      <c r="O38" s="33">
        <f>SUMIFS(Ledger!$C$5:$C$109,Ledger!$F$5:$F$109,$A38,Ledger!$B$5:$B$109,"Tama Estates")</f>
        <v>0</v>
      </c>
      <c r="P38" s="33">
        <f>SUMIFS(Ledger!$C$5:$C$109,Ledger!$F$5:$F$109,$A38,Ledger!$B$5:$B$109,"Duma Tau — Kronlein")</f>
        <v>0</v>
      </c>
      <c r="Q38" s="33">
        <f>SUMIFS(Ledger!$C$5:$C$109,Ledger!$F$5:$F$109,$A38,Ledger!$B$5:$B$109,"LIH Nkurenkuru Ph 1")</f>
        <v>0</v>
      </c>
      <c r="R38" s="33">
        <f>SUMIFS(Ledger!$C$5:$C$109,Ledger!$F$5:$F$109,$A38,Ledger!$B$5:$B$109,"NIC Otjomuise Ext 10 (Erf 5221)")</f>
        <v>0</v>
      </c>
      <c r="S38" s="33">
        <f>SUMIFS(Ledger!$C$5:$C$109,Ledger!$F$5:$F$109,$A38,Ledger!$B$5:$B$109,"Heavens Ark — Otjomuise")</f>
        <v>0</v>
      </c>
    </row>
    <row r="39" spans="1:19" x14ac:dyDescent="0.3">
      <c r="A39" s="34">
        <v>44927</v>
      </c>
      <c r="B39" s="33">
        <f>SUMIFS(Ledger!$D$5:$D$109,Ledger!$F$5:$F$109,$A39)</f>
        <v>0</v>
      </c>
      <c r="C39" s="33">
        <f>SUMIFS(Ledger!$E$5:$E$109,Ledger!$F$5:$F$109,$A39)</f>
        <v>0</v>
      </c>
      <c r="D39" s="33">
        <f t="shared" si="1"/>
        <v>0</v>
      </c>
      <c r="E39" s="33">
        <f t="shared" si="2"/>
        <v>0</v>
      </c>
      <c r="F39" s="33">
        <f>SUMIFS(Ledger!$C$5:$C$109,Ledger!$F$5:$F$109,$A39,Ledger!$B$5:$B$109,"Erf 1470 Khomasdal")</f>
        <v>0</v>
      </c>
      <c r="G39" s="33">
        <f>SUMIFS(Ledger!$C$5:$C$109,Ledger!$F$5:$F$109,$A39,Ledger!$B$5:$B$109,"Dunescape Villas (Erf 5159)")</f>
        <v>0</v>
      </c>
      <c r="H39" s="33">
        <f>SUMIFS(Ledger!$C$5:$C$109,Ledger!$F$5:$F$109,$A39,Ledger!$B$5:$B$109,"PAM Tree (Erf 5758)")</f>
        <v>0</v>
      </c>
      <c r="I39" s="33">
        <f>SUMIFS(Ledger!$C$5:$C$109,Ledger!$F$5:$F$109,$A39,Ledger!$B$5:$B$109,"Turnstone Villas (Erf 8939)")</f>
        <v>0</v>
      </c>
      <c r="J39" s="33">
        <f>SUMIFS(Ledger!$C$5:$C$109,Ledger!$F$5:$F$109,$A39,Ledger!$B$5:$B$109,"Lithon Nkurenkuru Ext 2")</f>
        <v>0</v>
      </c>
      <c r="K39" s="33">
        <f>SUMIFS(Ledger!$C$5:$C$109,Ledger!$F$5:$F$109,$A39,Ledger!$B$5:$B$109,"Mondesa Palms")</f>
        <v>0</v>
      </c>
      <c r="L39" s="33">
        <f>SUMIFS(Ledger!$C$5:$C$109,Ledger!$F$5:$F$109,$A39,Ledger!$B$5:$B$109,"The Ridge — Rocky Crest Ext 4")</f>
        <v>0</v>
      </c>
      <c r="M39" s="33">
        <f>SUMIFS(Ledger!$C$5:$C$109,Ledger!$F$5:$F$109,$A39,Ledger!$B$5:$B$109,"Mango Cove (Otjomuise Ext 10)")</f>
        <v>0</v>
      </c>
      <c r="N39" s="33">
        <f>SUMIFS(Ledger!$C$5:$C$109,Ledger!$F$5:$F$109,$A39,Ledger!$B$5:$B$109,"C-Breeze Heights")</f>
        <v>0</v>
      </c>
      <c r="O39" s="33">
        <f>SUMIFS(Ledger!$C$5:$C$109,Ledger!$F$5:$F$109,$A39,Ledger!$B$5:$B$109,"Tama Estates")</f>
        <v>0</v>
      </c>
      <c r="P39" s="33">
        <f>SUMIFS(Ledger!$C$5:$C$109,Ledger!$F$5:$F$109,$A39,Ledger!$B$5:$B$109,"Duma Tau — Kronlein")</f>
        <v>0</v>
      </c>
      <c r="Q39" s="33">
        <f>SUMIFS(Ledger!$C$5:$C$109,Ledger!$F$5:$F$109,$A39,Ledger!$B$5:$B$109,"LIH Nkurenkuru Ph 1")</f>
        <v>0</v>
      </c>
      <c r="R39" s="33">
        <f>SUMIFS(Ledger!$C$5:$C$109,Ledger!$F$5:$F$109,$A39,Ledger!$B$5:$B$109,"NIC Otjomuise Ext 10 (Erf 5221)")</f>
        <v>0</v>
      </c>
      <c r="S39" s="33">
        <f>SUMIFS(Ledger!$C$5:$C$109,Ledger!$F$5:$F$109,$A39,Ledger!$B$5:$B$109,"Heavens Ark — Otjomuise")</f>
        <v>0</v>
      </c>
    </row>
    <row r="40" spans="1:19" x14ac:dyDescent="0.3">
      <c r="A40" s="32">
        <v>44986</v>
      </c>
      <c r="B40" s="33">
        <f>SUMIFS(Ledger!$D$5:$D$109,Ledger!$F$5:$F$109,$A40)</f>
        <v>0</v>
      </c>
      <c r="C40" s="33">
        <f>SUMIFS(Ledger!$E$5:$E$109,Ledger!$F$5:$F$109,$A40)</f>
        <v>0</v>
      </c>
      <c r="D40" s="33">
        <f t="shared" si="1"/>
        <v>0</v>
      </c>
      <c r="E40" s="33">
        <f t="shared" si="2"/>
        <v>0</v>
      </c>
      <c r="F40" s="33">
        <f>SUMIFS(Ledger!$C$5:$C$109,Ledger!$F$5:$F$109,$A40,Ledger!$B$5:$B$109,"Erf 1470 Khomasdal")</f>
        <v>0</v>
      </c>
      <c r="G40" s="33">
        <f>SUMIFS(Ledger!$C$5:$C$109,Ledger!$F$5:$F$109,$A40,Ledger!$B$5:$B$109,"Dunescape Villas (Erf 5159)")</f>
        <v>0</v>
      </c>
      <c r="H40" s="33">
        <f>SUMIFS(Ledger!$C$5:$C$109,Ledger!$F$5:$F$109,$A40,Ledger!$B$5:$B$109,"PAM Tree (Erf 5758)")</f>
        <v>0</v>
      </c>
      <c r="I40" s="33">
        <f>SUMIFS(Ledger!$C$5:$C$109,Ledger!$F$5:$F$109,$A40,Ledger!$B$5:$B$109,"Turnstone Villas (Erf 8939)")</f>
        <v>0</v>
      </c>
      <c r="J40" s="33">
        <f>SUMIFS(Ledger!$C$5:$C$109,Ledger!$F$5:$F$109,$A40,Ledger!$B$5:$B$109,"Lithon Nkurenkuru Ext 2")</f>
        <v>0</v>
      </c>
      <c r="K40" s="33">
        <f>SUMIFS(Ledger!$C$5:$C$109,Ledger!$F$5:$F$109,$A40,Ledger!$B$5:$B$109,"Mondesa Palms")</f>
        <v>0</v>
      </c>
      <c r="L40" s="33">
        <f>SUMIFS(Ledger!$C$5:$C$109,Ledger!$F$5:$F$109,$A40,Ledger!$B$5:$B$109,"The Ridge — Rocky Crest Ext 4")</f>
        <v>0</v>
      </c>
      <c r="M40" s="33">
        <f>SUMIFS(Ledger!$C$5:$C$109,Ledger!$F$5:$F$109,$A40,Ledger!$B$5:$B$109,"Mango Cove (Otjomuise Ext 10)")</f>
        <v>0</v>
      </c>
      <c r="N40" s="33">
        <f>SUMIFS(Ledger!$C$5:$C$109,Ledger!$F$5:$F$109,$A40,Ledger!$B$5:$B$109,"C-Breeze Heights")</f>
        <v>0</v>
      </c>
      <c r="O40" s="33">
        <f>SUMIFS(Ledger!$C$5:$C$109,Ledger!$F$5:$F$109,$A40,Ledger!$B$5:$B$109,"Tama Estates")</f>
        <v>0</v>
      </c>
      <c r="P40" s="33">
        <f>SUMIFS(Ledger!$C$5:$C$109,Ledger!$F$5:$F$109,$A40,Ledger!$B$5:$B$109,"Duma Tau — Kronlein")</f>
        <v>0</v>
      </c>
      <c r="Q40" s="33">
        <f>SUMIFS(Ledger!$C$5:$C$109,Ledger!$F$5:$F$109,$A40,Ledger!$B$5:$B$109,"LIH Nkurenkuru Ph 1")</f>
        <v>0</v>
      </c>
      <c r="R40" s="33">
        <f>SUMIFS(Ledger!$C$5:$C$109,Ledger!$F$5:$F$109,$A40,Ledger!$B$5:$B$109,"NIC Otjomuise Ext 10 (Erf 5221)")</f>
        <v>0</v>
      </c>
      <c r="S40" s="33">
        <f>SUMIFS(Ledger!$C$5:$C$109,Ledger!$F$5:$F$109,$A40,Ledger!$B$5:$B$109,"Heavens Ark — Otjomuise")</f>
        <v>0</v>
      </c>
    </row>
    <row r="41" spans="1:19" x14ac:dyDescent="0.3">
      <c r="A41" s="34">
        <v>45017</v>
      </c>
      <c r="B41" s="33">
        <f>SUMIFS(Ledger!$D$5:$D$109,Ledger!$F$5:$F$109,$A41)</f>
        <v>0</v>
      </c>
      <c r="C41" s="33">
        <f>SUMIFS(Ledger!$E$5:$E$109,Ledger!$F$5:$F$109,$A41)</f>
        <v>6983276.2599999998</v>
      </c>
      <c r="D41" s="33">
        <f t="shared" si="1"/>
        <v>6983276.2599999998</v>
      </c>
      <c r="E41" s="33">
        <f t="shared" si="2"/>
        <v>6983276.2599999998</v>
      </c>
      <c r="F41" s="33">
        <f>SUMIFS(Ledger!$C$5:$C$109,Ledger!$F$5:$F$109,$A41,Ledger!$B$5:$B$109,"Erf 1470 Khomasdal")</f>
        <v>0</v>
      </c>
      <c r="G41" s="33">
        <f>SUMIFS(Ledger!$C$5:$C$109,Ledger!$F$5:$F$109,$A41,Ledger!$B$5:$B$109,"Dunescape Villas (Erf 5159)")</f>
        <v>0</v>
      </c>
      <c r="H41" s="33">
        <f>SUMIFS(Ledger!$C$5:$C$109,Ledger!$F$5:$F$109,$A41,Ledger!$B$5:$B$109,"PAM Tree (Erf 5758)")</f>
        <v>0</v>
      </c>
      <c r="I41" s="33">
        <f>SUMIFS(Ledger!$C$5:$C$109,Ledger!$F$5:$F$109,$A41,Ledger!$B$5:$B$109,"Turnstone Villas (Erf 8939)")</f>
        <v>0</v>
      </c>
      <c r="J41" s="33">
        <f>SUMIFS(Ledger!$C$5:$C$109,Ledger!$F$5:$F$109,$A41,Ledger!$B$5:$B$109,"Lithon Nkurenkuru Ext 2")</f>
        <v>0</v>
      </c>
      <c r="K41" s="33">
        <f>SUMIFS(Ledger!$C$5:$C$109,Ledger!$F$5:$F$109,$A41,Ledger!$B$5:$B$109,"Mondesa Palms")</f>
        <v>0</v>
      </c>
      <c r="L41" s="33">
        <f>SUMIFS(Ledger!$C$5:$C$109,Ledger!$F$5:$F$109,$A41,Ledger!$B$5:$B$109,"The Ridge — Rocky Crest Ext 4")</f>
        <v>0</v>
      </c>
      <c r="M41" s="33">
        <f>SUMIFS(Ledger!$C$5:$C$109,Ledger!$F$5:$F$109,$A41,Ledger!$B$5:$B$109,"Mango Cove (Otjomuise Ext 10)")</f>
        <v>0</v>
      </c>
      <c r="N41" s="33">
        <f>SUMIFS(Ledger!$C$5:$C$109,Ledger!$F$5:$F$109,$A41,Ledger!$B$5:$B$109,"C-Breeze Heights")</f>
        <v>0</v>
      </c>
      <c r="O41" s="33">
        <f>SUMIFS(Ledger!$C$5:$C$109,Ledger!$F$5:$F$109,$A41,Ledger!$B$5:$B$109,"Tama Estates")</f>
        <v>0</v>
      </c>
      <c r="P41" s="33">
        <f>SUMIFS(Ledger!$C$5:$C$109,Ledger!$F$5:$F$109,$A41,Ledger!$B$5:$B$109,"Duma Tau — Kronlein")</f>
        <v>694476.87</v>
      </c>
      <c r="Q41" s="33">
        <f>SUMIFS(Ledger!$C$5:$C$109,Ledger!$F$5:$F$109,$A41,Ledger!$B$5:$B$109,"LIH Nkurenkuru Ph 1")</f>
        <v>0</v>
      </c>
      <c r="R41" s="33">
        <f>SUMIFS(Ledger!$C$5:$C$109,Ledger!$F$5:$F$109,$A41,Ledger!$B$5:$B$109,"NIC Otjomuise Ext 10 (Erf 5221)")</f>
        <v>0</v>
      </c>
      <c r="S41" s="33">
        <f>SUMIFS(Ledger!$C$5:$C$109,Ledger!$F$5:$F$109,$A41,Ledger!$B$5:$B$109,"Heavens Ark — Otjomuise")</f>
        <v>0</v>
      </c>
    </row>
    <row r="42" spans="1:19" x14ac:dyDescent="0.3">
      <c r="A42" s="32">
        <v>45047</v>
      </c>
      <c r="B42" s="33">
        <f>SUMIFS(Ledger!$D$5:$D$109,Ledger!$F$5:$F$109,$A42)</f>
        <v>0</v>
      </c>
      <c r="C42" s="33">
        <f>SUMIFS(Ledger!$E$5:$E$109,Ledger!$F$5:$F$109,$A42)</f>
        <v>0</v>
      </c>
      <c r="D42" s="33">
        <f t="shared" si="1"/>
        <v>0</v>
      </c>
      <c r="E42" s="33">
        <f t="shared" si="2"/>
        <v>0</v>
      </c>
      <c r="F42" s="33">
        <f>SUMIFS(Ledger!$C$5:$C$109,Ledger!$F$5:$F$109,$A42,Ledger!$B$5:$B$109,"Erf 1470 Khomasdal")</f>
        <v>0</v>
      </c>
      <c r="G42" s="33">
        <f>SUMIFS(Ledger!$C$5:$C$109,Ledger!$F$5:$F$109,$A42,Ledger!$B$5:$B$109,"Dunescape Villas (Erf 5159)")</f>
        <v>0</v>
      </c>
      <c r="H42" s="33">
        <f>SUMIFS(Ledger!$C$5:$C$109,Ledger!$F$5:$F$109,$A42,Ledger!$B$5:$B$109,"PAM Tree (Erf 5758)")</f>
        <v>0</v>
      </c>
      <c r="I42" s="33">
        <f>SUMIFS(Ledger!$C$5:$C$109,Ledger!$F$5:$F$109,$A42,Ledger!$B$5:$B$109,"Turnstone Villas (Erf 8939)")</f>
        <v>0</v>
      </c>
      <c r="J42" s="33">
        <f>SUMIFS(Ledger!$C$5:$C$109,Ledger!$F$5:$F$109,$A42,Ledger!$B$5:$B$109,"Lithon Nkurenkuru Ext 2")</f>
        <v>0</v>
      </c>
      <c r="K42" s="33">
        <f>SUMIFS(Ledger!$C$5:$C$109,Ledger!$F$5:$F$109,$A42,Ledger!$B$5:$B$109,"Mondesa Palms")</f>
        <v>0</v>
      </c>
      <c r="L42" s="33">
        <f>SUMIFS(Ledger!$C$5:$C$109,Ledger!$F$5:$F$109,$A42,Ledger!$B$5:$B$109,"The Ridge — Rocky Crest Ext 4")</f>
        <v>0</v>
      </c>
      <c r="M42" s="33">
        <f>SUMIFS(Ledger!$C$5:$C$109,Ledger!$F$5:$F$109,$A42,Ledger!$B$5:$B$109,"Mango Cove (Otjomuise Ext 10)")</f>
        <v>0</v>
      </c>
      <c r="N42" s="33">
        <f>SUMIFS(Ledger!$C$5:$C$109,Ledger!$F$5:$F$109,$A42,Ledger!$B$5:$B$109,"C-Breeze Heights")</f>
        <v>0</v>
      </c>
      <c r="O42" s="33">
        <f>SUMIFS(Ledger!$C$5:$C$109,Ledger!$F$5:$F$109,$A42,Ledger!$B$5:$B$109,"Tama Estates")</f>
        <v>0</v>
      </c>
      <c r="P42" s="33">
        <f>SUMIFS(Ledger!$C$5:$C$109,Ledger!$F$5:$F$109,$A42,Ledger!$B$5:$B$109,"Duma Tau — Kronlein")</f>
        <v>0</v>
      </c>
      <c r="Q42" s="33">
        <f>SUMIFS(Ledger!$C$5:$C$109,Ledger!$F$5:$F$109,$A42,Ledger!$B$5:$B$109,"LIH Nkurenkuru Ph 1")</f>
        <v>0</v>
      </c>
      <c r="R42" s="33">
        <f>SUMIFS(Ledger!$C$5:$C$109,Ledger!$F$5:$F$109,$A42,Ledger!$B$5:$B$109,"NIC Otjomuise Ext 10 (Erf 5221)")</f>
        <v>0</v>
      </c>
      <c r="S42" s="33">
        <f>SUMIFS(Ledger!$C$5:$C$109,Ledger!$F$5:$F$109,$A42,Ledger!$B$5:$B$109,"Heavens Ark — Otjomuise")</f>
        <v>0</v>
      </c>
    </row>
    <row r="43" spans="1:19" x14ac:dyDescent="0.3">
      <c r="A43" s="34">
        <v>45078</v>
      </c>
      <c r="B43" s="33">
        <f>SUMIFS(Ledger!$D$5:$D$109,Ledger!$F$5:$F$109,$A43)</f>
        <v>0</v>
      </c>
      <c r="C43" s="33">
        <f>SUMIFS(Ledger!$E$5:$E$109,Ledger!$F$5:$F$109,$A43)</f>
        <v>1515807.29</v>
      </c>
      <c r="D43" s="33">
        <f t="shared" si="1"/>
        <v>1515807.29</v>
      </c>
      <c r="E43" s="33">
        <f t="shared" si="2"/>
        <v>1515807.29</v>
      </c>
      <c r="F43" s="33">
        <f>SUMIFS(Ledger!$C$5:$C$109,Ledger!$F$5:$F$109,$A43,Ledger!$B$5:$B$109,"Erf 1470 Khomasdal")</f>
        <v>0</v>
      </c>
      <c r="G43" s="33">
        <f>SUMIFS(Ledger!$C$5:$C$109,Ledger!$F$5:$F$109,$A43,Ledger!$B$5:$B$109,"Dunescape Villas (Erf 5159)")</f>
        <v>0</v>
      </c>
      <c r="H43" s="33">
        <f>SUMIFS(Ledger!$C$5:$C$109,Ledger!$F$5:$F$109,$A43,Ledger!$B$5:$B$109,"PAM Tree (Erf 5758)")</f>
        <v>0</v>
      </c>
      <c r="I43" s="33">
        <f>SUMIFS(Ledger!$C$5:$C$109,Ledger!$F$5:$F$109,$A43,Ledger!$B$5:$B$109,"Turnstone Villas (Erf 8939)")</f>
        <v>0</v>
      </c>
      <c r="J43" s="33">
        <f>SUMIFS(Ledger!$C$5:$C$109,Ledger!$F$5:$F$109,$A43,Ledger!$B$5:$B$109,"Lithon Nkurenkuru Ext 2")</f>
        <v>0</v>
      </c>
      <c r="K43" s="33">
        <f>SUMIFS(Ledger!$C$5:$C$109,Ledger!$F$5:$F$109,$A43,Ledger!$B$5:$B$109,"Mondesa Palms")</f>
        <v>0</v>
      </c>
      <c r="L43" s="33">
        <f>SUMIFS(Ledger!$C$5:$C$109,Ledger!$F$5:$F$109,$A43,Ledger!$B$5:$B$109,"The Ridge — Rocky Crest Ext 4")</f>
        <v>0</v>
      </c>
      <c r="M43" s="33">
        <f>SUMIFS(Ledger!$C$5:$C$109,Ledger!$F$5:$F$109,$A43,Ledger!$B$5:$B$109,"Mango Cove (Otjomuise Ext 10)")</f>
        <v>0</v>
      </c>
      <c r="N43" s="33">
        <f>SUMIFS(Ledger!$C$5:$C$109,Ledger!$F$5:$F$109,$A43,Ledger!$B$5:$B$109,"C-Breeze Heights")</f>
        <v>0</v>
      </c>
      <c r="O43" s="33">
        <f>SUMIFS(Ledger!$C$5:$C$109,Ledger!$F$5:$F$109,$A43,Ledger!$B$5:$B$109,"Tama Estates")</f>
        <v>0</v>
      </c>
      <c r="P43" s="33">
        <f>SUMIFS(Ledger!$C$5:$C$109,Ledger!$F$5:$F$109,$A43,Ledger!$B$5:$B$109,"Duma Tau — Kronlein")</f>
        <v>451182.19</v>
      </c>
      <c r="Q43" s="33">
        <f>SUMIFS(Ledger!$C$5:$C$109,Ledger!$F$5:$F$109,$A43,Ledger!$B$5:$B$109,"LIH Nkurenkuru Ph 1")</f>
        <v>0</v>
      </c>
      <c r="R43" s="33">
        <f>SUMIFS(Ledger!$C$5:$C$109,Ledger!$F$5:$F$109,$A43,Ledger!$B$5:$B$109,"NIC Otjomuise Ext 10 (Erf 5221)")</f>
        <v>0</v>
      </c>
      <c r="S43" s="33">
        <f>SUMIFS(Ledger!$C$5:$C$109,Ledger!$F$5:$F$109,$A43,Ledger!$B$5:$B$109,"Heavens Ark — Otjomuise")</f>
        <v>0</v>
      </c>
    </row>
    <row r="44" spans="1:19" x14ac:dyDescent="0.3">
      <c r="A44" s="32">
        <v>45108</v>
      </c>
      <c r="B44" s="33">
        <f>SUMIFS(Ledger!$D$5:$D$109,Ledger!$F$5:$F$109,$A44)</f>
        <v>0</v>
      </c>
      <c r="C44" s="33">
        <f>SUMIFS(Ledger!$E$5:$E$109,Ledger!$F$5:$F$109,$A44)</f>
        <v>0</v>
      </c>
      <c r="D44" s="33">
        <f t="shared" si="1"/>
        <v>0</v>
      </c>
      <c r="E44" s="33">
        <f t="shared" si="2"/>
        <v>0</v>
      </c>
      <c r="F44" s="33">
        <f>SUMIFS(Ledger!$C$5:$C$109,Ledger!$F$5:$F$109,$A44,Ledger!$B$5:$B$109,"Erf 1470 Khomasdal")</f>
        <v>0</v>
      </c>
      <c r="G44" s="33">
        <f>SUMIFS(Ledger!$C$5:$C$109,Ledger!$F$5:$F$109,$A44,Ledger!$B$5:$B$109,"Dunescape Villas (Erf 5159)")</f>
        <v>0</v>
      </c>
      <c r="H44" s="33">
        <f>SUMIFS(Ledger!$C$5:$C$109,Ledger!$F$5:$F$109,$A44,Ledger!$B$5:$B$109,"PAM Tree (Erf 5758)")</f>
        <v>0</v>
      </c>
      <c r="I44" s="33">
        <f>SUMIFS(Ledger!$C$5:$C$109,Ledger!$F$5:$F$109,$A44,Ledger!$B$5:$B$109,"Turnstone Villas (Erf 8939)")</f>
        <v>0</v>
      </c>
      <c r="J44" s="33">
        <f>SUMIFS(Ledger!$C$5:$C$109,Ledger!$F$5:$F$109,$A44,Ledger!$B$5:$B$109,"Lithon Nkurenkuru Ext 2")</f>
        <v>0</v>
      </c>
      <c r="K44" s="33">
        <f>SUMIFS(Ledger!$C$5:$C$109,Ledger!$F$5:$F$109,$A44,Ledger!$B$5:$B$109,"Mondesa Palms")</f>
        <v>0</v>
      </c>
      <c r="L44" s="33">
        <f>SUMIFS(Ledger!$C$5:$C$109,Ledger!$F$5:$F$109,$A44,Ledger!$B$5:$B$109,"The Ridge — Rocky Crest Ext 4")</f>
        <v>0</v>
      </c>
      <c r="M44" s="33">
        <f>SUMIFS(Ledger!$C$5:$C$109,Ledger!$F$5:$F$109,$A44,Ledger!$B$5:$B$109,"Mango Cove (Otjomuise Ext 10)")</f>
        <v>0</v>
      </c>
      <c r="N44" s="33">
        <f>SUMIFS(Ledger!$C$5:$C$109,Ledger!$F$5:$F$109,$A44,Ledger!$B$5:$B$109,"C-Breeze Heights")</f>
        <v>0</v>
      </c>
      <c r="O44" s="33">
        <f>SUMIFS(Ledger!$C$5:$C$109,Ledger!$F$5:$F$109,$A44,Ledger!$B$5:$B$109,"Tama Estates")</f>
        <v>0</v>
      </c>
      <c r="P44" s="33">
        <f>SUMIFS(Ledger!$C$5:$C$109,Ledger!$F$5:$F$109,$A44,Ledger!$B$5:$B$109,"Duma Tau — Kronlein")</f>
        <v>0</v>
      </c>
      <c r="Q44" s="33">
        <f>SUMIFS(Ledger!$C$5:$C$109,Ledger!$F$5:$F$109,$A44,Ledger!$B$5:$B$109,"LIH Nkurenkuru Ph 1")</f>
        <v>0</v>
      </c>
      <c r="R44" s="33">
        <f>SUMIFS(Ledger!$C$5:$C$109,Ledger!$F$5:$F$109,$A44,Ledger!$B$5:$B$109,"NIC Otjomuise Ext 10 (Erf 5221)")</f>
        <v>0</v>
      </c>
      <c r="S44" s="33">
        <f>SUMIFS(Ledger!$C$5:$C$109,Ledger!$F$5:$F$109,$A44,Ledger!$B$5:$B$109,"Heavens Ark — Otjomuise")</f>
        <v>0</v>
      </c>
    </row>
    <row r="45" spans="1:19" x14ac:dyDescent="0.3">
      <c r="A45" s="34">
        <v>45139</v>
      </c>
      <c r="B45" s="33">
        <f>SUMIFS(Ledger!$D$5:$D$109,Ledger!$F$5:$F$109,$A45)</f>
        <v>-6000000</v>
      </c>
      <c r="C45" s="33">
        <f>SUMIFS(Ledger!$E$5:$E$109,Ledger!$F$5:$F$109,$A45)</f>
        <v>0</v>
      </c>
      <c r="D45" s="33">
        <f t="shared" si="1"/>
        <v>-6000000</v>
      </c>
      <c r="E45" s="33">
        <f t="shared" si="2"/>
        <v>-6000000</v>
      </c>
      <c r="F45" s="33">
        <f>SUMIFS(Ledger!$C$5:$C$109,Ledger!$F$5:$F$109,$A45,Ledger!$B$5:$B$109,"Erf 1470 Khomasdal")</f>
        <v>0</v>
      </c>
      <c r="G45" s="33">
        <f>SUMIFS(Ledger!$C$5:$C$109,Ledger!$F$5:$F$109,$A45,Ledger!$B$5:$B$109,"Dunescape Villas (Erf 5159)")</f>
        <v>0</v>
      </c>
      <c r="H45" s="33">
        <f>SUMIFS(Ledger!$C$5:$C$109,Ledger!$F$5:$F$109,$A45,Ledger!$B$5:$B$109,"PAM Tree (Erf 5758)")</f>
        <v>0</v>
      </c>
      <c r="I45" s="33">
        <f>SUMIFS(Ledger!$C$5:$C$109,Ledger!$F$5:$F$109,$A45,Ledger!$B$5:$B$109,"Turnstone Villas (Erf 8939)")</f>
        <v>0</v>
      </c>
      <c r="J45" s="33">
        <f>SUMIFS(Ledger!$C$5:$C$109,Ledger!$F$5:$F$109,$A45,Ledger!$B$5:$B$109,"Lithon Nkurenkuru Ext 2")</f>
        <v>0</v>
      </c>
      <c r="K45" s="33">
        <f>SUMIFS(Ledger!$C$5:$C$109,Ledger!$F$5:$F$109,$A45,Ledger!$B$5:$B$109,"Mondesa Palms")</f>
        <v>0</v>
      </c>
      <c r="L45" s="33">
        <f>SUMIFS(Ledger!$C$5:$C$109,Ledger!$F$5:$F$109,$A45,Ledger!$B$5:$B$109,"The Ridge — Rocky Crest Ext 4")</f>
        <v>0</v>
      </c>
      <c r="M45" s="33">
        <f>SUMIFS(Ledger!$C$5:$C$109,Ledger!$F$5:$F$109,$A45,Ledger!$B$5:$B$109,"Mango Cove (Otjomuise Ext 10)")</f>
        <v>0</v>
      </c>
      <c r="N45" s="33">
        <f>SUMIFS(Ledger!$C$5:$C$109,Ledger!$F$5:$F$109,$A45,Ledger!$B$5:$B$109,"C-Breeze Heights")</f>
        <v>0</v>
      </c>
      <c r="O45" s="33">
        <f>SUMIFS(Ledger!$C$5:$C$109,Ledger!$F$5:$F$109,$A45,Ledger!$B$5:$B$109,"Tama Estates")</f>
        <v>0</v>
      </c>
      <c r="P45" s="33">
        <f>SUMIFS(Ledger!$C$5:$C$109,Ledger!$F$5:$F$109,$A45,Ledger!$B$5:$B$109,"Duma Tau — Kronlein")</f>
        <v>0</v>
      </c>
      <c r="Q45" s="33">
        <f>SUMIFS(Ledger!$C$5:$C$109,Ledger!$F$5:$F$109,$A45,Ledger!$B$5:$B$109,"LIH Nkurenkuru Ph 1")</f>
        <v>0</v>
      </c>
      <c r="R45" s="33">
        <f>SUMIFS(Ledger!$C$5:$C$109,Ledger!$F$5:$F$109,$A45,Ledger!$B$5:$B$109,"NIC Otjomuise Ext 10 (Erf 5221)")</f>
        <v>0</v>
      </c>
      <c r="S45" s="33">
        <f>SUMIFS(Ledger!$C$5:$C$109,Ledger!$F$5:$F$109,$A45,Ledger!$B$5:$B$109,"Heavens Ark — Otjomuise")</f>
        <v>0</v>
      </c>
    </row>
    <row r="46" spans="1:19" x14ac:dyDescent="0.3">
      <c r="A46" s="32">
        <v>45170</v>
      </c>
      <c r="B46" s="33">
        <f>SUMIFS(Ledger!$D$5:$D$109,Ledger!$F$5:$F$109,$A46)</f>
        <v>0</v>
      </c>
      <c r="C46" s="33">
        <f>SUMIFS(Ledger!$E$5:$E$109,Ledger!$F$5:$F$109,$A46)</f>
        <v>0</v>
      </c>
      <c r="D46" s="33">
        <f t="shared" si="1"/>
        <v>0</v>
      </c>
      <c r="E46" s="33">
        <f t="shared" si="2"/>
        <v>0</v>
      </c>
      <c r="F46" s="33">
        <f>SUMIFS(Ledger!$C$5:$C$109,Ledger!$F$5:$F$109,$A46,Ledger!$B$5:$B$109,"Erf 1470 Khomasdal")</f>
        <v>0</v>
      </c>
      <c r="G46" s="33">
        <f>SUMIFS(Ledger!$C$5:$C$109,Ledger!$F$5:$F$109,$A46,Ledger!$B$5:$B$109,"Dunescape Villas (Erf 5159)")</f>
        <v>0</v>
      </c>
      <c r="H46" s="33">
        <f>SUMIFS(Ledger!$C$5:$C$109,Ledger!$F$5:$F$109,$A46,Ledger!$B$5:$B$109,"PAM Tree (Erf 5758)")</f>
        <v>0</v>
      </c>
      <c r="I46" s="33">
        <f>SUMIFS(Ledger!$C$5:$C$109,Ledger!$F$5:$F$109,$A46,Ledger!$B$5:$B$109,"Turnstone Villas (Erf 8939)")</f>
        <v>0</v>
      </c>
      <c r="J46" s="33">
        <f>SUMIFS(Ledger!$C$5:$C$109,Ledger!$F$5:$F$109,$A46,Ledger!$B$5:$B$109,"Lithon Nkurenkuru Ext 2")</f>
        <v>0</v>
      </c>
      <c r="K46" s="33">
        <f>SUMIFS(Ledger!$C$5:$C$109,Ledger!$F$5:$F$109,$A46,Ledger!$B$5:$B$109,"Mondesa Palms")</f>
        <v>0</v>
      </c>
      <c r="L46" s="33">
        <f>SUMIFS(Ledger!$C$5:$C$109,Ledger!$F$5:$F$109,$A46,Ledger!$B$5:$B$109,"The Ridge — Rocky Crest Ext 4")</f>
        <v>0</v>
      </c>
      <c r="M46" s="33">
        <f>SUMIFS(Ledger!$C$5:$C$109,Ledger!$F$5:$F$109,$A46,Ledger!$B$5:$B$109,"Mango Cove (Otjomuise Ext 10)")</f>
        <v>0</v>
      </c>
      <c r="N46" s="33">
        <f>SUMIFS(Ledger!$C$5:$C$109,Ledger!$F$5:$F$109,$A46,Ledger!$B$5:$B$109,"C-Breeze Heights")</f>
        <v>0</v>
      </c>
      <c r="O46" s="33">
        <f>SUMIFS(Ledger!$C$5:$C$109,Ledger!$F$5:$F$109,$A46,Ledger!$B$5:$B$109,"Tama Estates")</f>
        <v>0</v>
      </c>
      <c r="P46" s="33">
        <f>SUMIFS(Ledger!$C$5:$C$109,Ledger!$F$5:$F$109,$A46,Ledger!$B$5:$B$109,"Duma Tau — Kronlein")</f>
        <v>0</v>
      </c>
      <c r="Q46" s="33">
        <f>SUMIFS(Ledger!$C$5:$C$109,Ledger!$F$5:$F$109,$A46,Ledger!$B$5:$B$109,"LIH Nkurenkuru Ph 1")</f>
        <v>0</v>
      </c>
      <c r="R46" s="33">
        <f>SUMIFS(Ledger!$C$5:$C$109,Ledger!$F$5:$F$109,$A46,Ledger!$B$5:$B$109,"NIC Otjomuise Ext 10 (Erf 5221)")</f>
        <v>0</v>
      </c>
      <c r="S46" s="33">
        <f>SUMIFS(Ledger!$C$5:$C$109,Ledger!$F$5:$F$109,$A46,Ledger!$B$5:$B$109,"Heavens Ark — Otjomuise")</f>
        <v>0</v>
      </c>
    </row>
    <row r="47" spans="1:19" x14ac:dyDescent="0.3">
      <c r="A47" s="34">
        <v>45200</v>
      </c>
      <c r="B47" s="33">
        <f>SUMIFS(Ledger!$D$5:$D$109,Ledger!$F$5:$F$109,$A47)</f>
        <v>-2500000</v>
      </c>
      <c r="C47" s="33">
        <f>SUMIFS(Ledger!$E$5:$E$109,Ledger!$F$5:$F$109,$A47)</f>
        <v>0</v>
      </c>
      <c r="D47" s="33">
        <f t="shared" si="1"/>
        <v>-2500000</v>
      </c>
      <c r="E47" s="33">
        <f t="shared" si="2"/>
        <v>-2500000</v>
      </c>
      <c r="F47" s="33">
        <f>SUMIFS(Ledger!$C$5:$C$109,Ledger!$F$5:$F$109,$A47,Ledger!$B$5:$B$109,"Erf 1470 Khomasdal")</f>
        <v>0</v>
      </c>
      <c r="G47" s="33">
        <f>SUMIFS(Ledger!$C$5:$C$109,Ledger!$F$5:$F$109,$A47,Ledger!$B$5:$B$109,"Dunescape Villas (Erf 5159)")</f>
        <v>0</v>
      </c>
      <c r="H47" s="33">
        <f>SUMIFS(Ledger!$C$5:$C$109,Ledger!$F$5:$F$109,$A47,Ledger!$B$5:$B$109,"PAM Tree (Erf 5758)")</f>
        <v>0</v>
      </c>
      <c r="I47" s="33">
        <f>SUMIFS(Ledger!$C$5:$C$109,Ledger!$F$5:$F$109,$A47,Ledger!$B$5:$B$109,"Turnstone Villas (Erf 8939)")</f>
        <v>0</v>
      </c>
      <c r="J47" s="33">
        <f>SUMIFS(Ledger!$C$5:$C$109,Ledger!$F$5:$F$109,$A47,Ledger!$B$5:$B$109,"Lithon Nkurenkuru Ext 2")</f>
        <v>0</v>
      </c>
      <c r="K47" s="33">
        <f>SUMIFS(Ledger!$C$5:$C$109,Ledger!$F$5:$F$109,$A47,Ledger!$B$5:$B$109,"Mondesa Palms")</f>
        <v>0</v>
      </c>
      <c r="L47" s="33">
        <f>SUMIFS(Ledger!$C$5:$C$109,Ledger!$F$5:$F$109,$A47,Ledger!$B$5:$B$109,"The Ridge — Rocky Crest Ext 4")</f>
        <v>0</v>
      </c>
      <c r="M47" s="33">
        <f>SUMIFS(Ledger!$C$5:$C$109,Ledger!$F$5:$F$109,$A47,Ledger!$B$5:$B$109,"Mango Cove (Otjomuise Ext 10)")</f>
        <v>0</v>
      </c>
      <c r="N47" s="33">
        <f>SUMIFS(Ledger!$C$5:$C$109,Ledger!$F$5:$F$109,$A47,Ledger!$B$5:$B$109,"C-Breeze Heights")</f>
        <v>0</v>
      </c>
      <c r="O47" s="33">
        <f>SUMIFS(Ledger!$C$5:$C$109,Ledger!$F$5:$F$109,$A47,Ledger!$B$5:$B$109,"Tama Estates")</f>
        <v>0</v>
      </c>
      <c r="P47" s="33">
        <f>SUMIFS(Ledger!$C$5:$C$109,Ledger!$F$5:$F$109,$A47,Ledger!$B$5:$B$109,"Duma Tau — Kronlein")</f>
        <v>0</v>
      </c>
      <c r="Q47" s="33">
        <f>SUMIFS(Ledger!$C$5:$C$109,Ledger!$F$5:$F$109,$A47,Ledger!$B$5:$B$109,"LIH Nkurenkuru Ph 1")</f>
        <v>0</v>
      </c>
      <c r="R47" s="33">
        <f>SUMIFS(Ledger!$C$5:$C$109,Ledger!$F$5:$F$109,$A47,Ledger!$B$5:$B$109,"NIC Otjomuise Ext 10 (Erf 5221)")</f>
        <v>0</v>
      </c>
      <c r="S47" s="33">
        <f>SUMIFS(Ledger!$C$5:$C$109,Ledger!$F$5:$F$109,$A47,Ledger!$B$5:$B$109,"Heavens Ark — Otjomuise")</f>
        <v>0</v>
      </c>
    </row>
    <row r="48" spans="1:19" x14ac:dyDescent="0.3">
      <c r="A48" s="32">
        <v>45231</v>
      </c>
      <c r="B48" s="33">
        <f>SUMIFS(Ledger!$D$5:$D$109,Ledger!$F$5:$F$109,$A48)</f>
        <v>-4675000</v>
      </c>
      <c r="C48" s="33">
        <f>SUMIFS(Ledger!$E$5:$E$109,Ledger!$F$5:$F$109,$A48)</f>
        <v>0</v>
      </c>
      <c r="D48" s="33">
        <f t="shared" si="1"/>
        <v>-4675000</v>
      </c>
      <c r="E48" s="33">
        <f t="shared" si="2"/>
        <v>-4675000</v>
      </c>
      <c r="F48" s="33">
        <f>SUMIFS(Ledger!$C$5:$C$109,Ledger!$F$5:$F$109,$A48,Ledger!$B$5:$B$109,"Erf 1470 Khomasdal")</f>
        <v>0</v>
      </c>
      <c r="G48" s="33">
        <f>SUMIFS(Ledger!$C$5:$C$109,Ledger!$F$5:$F$109,$A48,Ledger!$B$5:$B$109,"Dunescape Villas (Erf 5159)")</f>
        <v>0</v>
      </c>
      <c r="H48" s="33">
        <f>SUMIFS(Ledger!$C$5:$C$109,Ledger!$F$5:$F$109,$A48,Ledger!$B$5:$B$109,"PAM Tree (Erf 5758)")</f>
        <v>0</v>
      </c>
      <c r="I48" s="33">
        <f>SUMIFS(Ledger!$C$5:$C$109,Ledger!$F$5:$F$109,$A48,Ledger!$B$5:$B$109,"Turnstone Villas (Erf 8939)")</f>
        <v>0</v>
      </c>
      <c r="J48" s="33">
        <f>SUMIFS(Ledger!$C$5:$C$109,Ledger!$F$5:$F$109,$A48,Ledger!$B$5:$B$109,"Lithon Nkurenkuru Ext 2")</f>
        <v>0</v>
      </c>
      <c r="K48" s="33">
        <f>SUMIFS(Ledger!$C$5:$C$109,Ledger!$F$5:$F$109,$A48,Ledger!$B$5:$B$109,"Mondesa Palms")</f>
        <v>0</v>
      </c>
      <c r="L48" s="33">
        <f>SUMIFS(Ledger!$C$5:$C$109,Ledger!$F$5:$F$109,$A48,Ledger!$B$5:$B$109,"The Ridge — Rocky Crest Ext 4")</f>
        <v>0</v>
      </c>
      <c r="M48" s="33">
        <f>SUMIFS(Ledger!$C$5:$C$109,Ledger!$F$5:$F$109,$A48,Ledger!$B$5:$B$109,"Mango Cove (Otjomuise Ext 10)")</f>
        <v>0</v>
      </c>
      <c r="N48" s="33">
        <f>SUMIFS(Ledger!$C$5:$C$109,Ledger!$F$5:$F$109,$A48,Ledger!$B$5:$B$109,"C-Breeze Heights")</f>
        <v>0</v>
      </c>
      <c r="O48" s="33">
        <f>SUMIFS(Ledger!$C$5:$C$109,Ledger!$F$5:$F$109,$A48,Ledger!$B$5:$B$109,"Tama Estates")</f>
        <v>0</v>
      </c>
      <c r="P48" s="33">
        <f>SUMIFS(Ledger!$C$5:$C$109,Ledger!$F$5:$F$109,$A48,Ledger!$B$5:$B$109,"Duma Tau — Kronlein")</f>
        <v>0</v>
      </c>
      <c r="Q48" s="33">
        <f>SUMIFS(Ledger!$C$5:$C$109,Ledger!$F$5:$F$109,$A48,Ledger!$B$5:$B$109,"LIH Nkurenkuru Ph 1")</f>
        <v>0</v>
      </c>
      <c r="R48" s="33">
        <f>SUMIFS(Ledger!$C$5:$C$109,Ledger!$F$5:$F$109,$A48,Ledger!$B$5:$B$109,"NIC Otjomuise Ext 10 (Erf 5221)")</f>
        <v>0</v>
      </c>
      <c r="S48" s="33">
        <f>SUMIFS(Ledger!$C$5:$C$109,Ledger!$F$5:$F$109,$A48,Ledger!$B$5:$B$109,"Heavens Ark — Otjomuise")</f>
        <v>0</v>
      </c>
    </row>
    <row r="49" spans="1:19" x14ac:dyDescent="0.3">
      <c r="A49" s="34">
        <v>45352</v>
      </c>
      <c r="B49" s="33">
        <f>SUMIFS(Ledger!$D$5:$D$109,Ledger!$F$5:$F$109,$A49)</f>
        <v>-5000000</v>
      </c>
      <c r="C49" s="33">
        <f>SUMIFS(Ledger!$E$5:$E$109,Ledger!$F$5:$F$109,$A49)</f>
        <v>0</v>
      </c>
      <c r="D49" s="33">
        <f t="shared" si="1"/>
        <v>-5000000</v>
      </c>
      <c r="E49" s="33">
        <f t="shared" si="2"/>
        <v>-5000000</v>
      </c>
      <c r="F49" s="33">
        <f>SUMIFS(Ledger!$C$5:$C$109,Ledger!$F$5:$F$109,$A49,Ledger!$B$5:$B$109,"Erf 1470 Khomasdal")</f>
        <v>0</v>
      </c>
      <c r="G49" s="33">
        <f>SUMIFS(Ledger!$C$5:$C$109,Ledger!$F$5:$F$109,$A49,Ledger!$B$5:$B$109,"Dunescape Villas (Erf 5159)")</f>
        <v>0</v>
      </c>
      <c r="H49" s="33">
        <f>SUMIFS(Ledger!$C$5:$C$109,Ledger!$F$5:$F$109,$A49,Ledger!$B$5:$B$109,"PAM Tree (Erf 5758)")</f>
        <v>0</v>
      </c>
      <c r="I49" s="33">
        <f>SUMIFS(Ledger!$C$5:$C$109,Ledger!$F$5:$F$109,$A49,Ledger!$B$5:$B$109,"Turnstone Villas (Erf 8939)")</f>
        <v>0</v>
      </c>
      <c r="J49" s="33">
        <f>SUMIFS(Ledger!$C$5:$C$109,Ledger!$F$5:$F$109,$A49,Ledger!$B$5:$B$109,"Lithon Nkurenkuru Ext 2")</f>
        <v>0</v>
      </c>
      <c r="K49" s="33">
        <f>SUMIFS(Ledger!$C$5:$C$109,Ledger!$F$5:$F$109,$A49,Ledger!$B$5:$B$109,"Mondesa Palms")</f>
        <v>0</v>
      </c>
      <c r="L49" s="33">
        <f>SUMIFS(Ledger!$C$5:$C$109,Ledger!$F$5:$F$109,$A49,Ledger!$B$5:$B$109,"The Ridge — Rocky Crest Ext 4")</f>
        <v>0</v>
      </c>
      <c r="M49" s="33">
        <f>SUMIFS(Ledger!$C$5:$C$109,Ledger!$F$5:$F$109,$A49,Ledger!$B$5:$B$109,"Mango Cove (Otjomuise Ext 10)")</f>
        <v>0</v>
      </c>
      <c r="N49" s="33">
        <f>SUMIFS(Ledger!$C$5:$C$109,Ledger!$F$5:$F$109,$A49,Ledger!$B$5:$B$109,"C-Breeze Heights")</f>
        <v>0</v>
      </c>
      <c r="O49" s="33">
        <f>SUMIFS(Ledger!$C$5:$C$109,Ledger!$F$5:$F$109,$A49,Ledger!$B$5:$B$109,"Tama Estates")</f>
        <v>0</v>
      </c>
      <c r="P49" s="33">
        <f>SUMIFS(Ledger!$C$5:$C$109,Ledger!$F$5:$F$109,$A49,Ledger!$B$5:$B$109,"Duma Tau — Kronlein")</f>
        <v>0</v>
      </c>
      <c r="Q49" s="33">
        <f>SUMIFS(Ledger!$C$5:$C$109,Ledger!$F$5:$F$109,$A49,Ledger!$B$5:$B$109,"LIH Nkurenkuru Ph 1")</f>
        <v>0</v>
      </c>
      <c r="R49" s="33">
        <f>SUMIFS(Ledger!$C$5:$C$109,Ledger!$F$5:$F$109,$A49,Ledger!$B$5:$B$109,"NIC Otjomuise Ext 10 (Erf 5221)")</f>
        <v>0</v>
      </c>
      <c r="S49" s="33">
        <f>SUMIFS(Ledger!$C$5:$C$109,Ledger!$F$5:$F$109,$A49,Ledger!$B$5:$B$109,"Heavens Ark — Otjomuise")</f>
        <v>0</v>
      </c>
    </row>
    <row r="50" spans="1:19" x14ac:dyDescent="0.3">
      <c r="A50" s="32">
        <v>45444</v>
      </c>
      <c r="B50" s="33">
        <f>SUMIFS(Ledger!$D$5:$D$109,Ledger!$F$5:$F$109,$A50)</f>
        <v>-3600000</v>
      </c>
      <c r="C50" s="33">
        <f>SUMIFS(Ledger!$E$5:$E$109,Ledger!$F$5:$F$109,$A50)</f>
        <v>0</v>
      </c>
      <c r="D50" s="33">
        <f t="shared" si="1"/>
        <v>-3600000</v>
      </c>
      <c r="E50" s="33">
        <f t="shared" si="2"/>
        <v>-3600000</v>
      </c>
      <c r="F50" s="33">
        <f>SUMIFS(Ledger!$C$5:$C$109,Ledger!$F$5:$F$109,$A50,Ledger!$B$5:$B$109,"Erf 1470 Khomasdal")</f>
        <v>0</v>
      </c>
      <c r="G50" s="33">
        <f>SUMIFS(Ledger!$C$5:$C$109,Ledger!$F$5:$F$109,$A50,Ledger!$B$5:$B$109,"Dunescape Villas (Erf 5159)")</f>
        <v>0</v>
      </c>
      <c r="H50" s="33">
        <f>SUMIFS(Ledger!$C$5:$C$109,Ledger!$F$5:$F$109,$A50,Ledger!$B$5:$B$109,"PAM Tree (Erf 5758)")</f>
        <v>0</v>
      </c>
      <c r="I50" s="33">
        <f>SUMIFS(Ledger!$C$5:$C$109,Ledger!$F$5:$F$109,$A50,Ledger!$B$5:$B$109,"Turnstone Villas (Erf 8939)")</f>
        <v>0</v>
      </c>
      <c r="J50" s="33">
        <f>SUMIFS(Ledger!$C$5:$C$109,Ledger!$F$5:$F$109,$A50,Ledger!$B$5:$B$109,"Lithon Nkurenkuru Ext 2")</f>
        <v>0</v>
      </c>
      <c r="K50" s="33">
        <f>SUMIFS(Ledger!$C$5:$C$109,Ledger!$F$5:$F$109,$A50,Ledger!$B$5:$B$109,"Mondesa Palms")</f>
        <v>0</v>
      </c>
      <c r="L50" s="33">
        <f>SUMIFS(Ledger!$C$5:$C$109,Ledger!$F$5:$F$109,$A50,Ledger!$B$5:$B$109,"The Ridge — Rocky Crest Ext 4")</f>
        <v>0</v>
      </c>
      <c r="M50" s="33">
        <f>SUMIFS(Ledger!$C$5:$C$109,Ledger!$F$5:$F$109,$A50,Ledger!$B$5:$B$109,"Mango Cove (Otjomuise Ext 10)")</f>
        <v>0</v>
      </c>
      <c r="N50" s="33">
        <f>SUMIFS(Ledger!$C$5:$C$109,Ledger!$F$5:$F$109,$A50,Ledger!$B$5:$B$109,"C-Breeze Heights")</f>
        <v>0</v>
      </c>
      <c r="O50" s="33">
        <f>SUMIFS(Ledger!$C$5:$C$109,Ledger!$F$5:$F$109,$A50,Ledger!$B$5:$B$109,"Tama Estates")</f>
        <v>0</v>
      </c>
      <c r="P50" s="33">
        <f>SUMIFS(Ledger!$C$5:$C$109,Ledger!$F$5:$F$109,$A50,Ledger!$B$5:$B$109,"Duma Tau — Kronlein")</f>
        <v>0</v>
      </c>
      <c r="Q50" s="33">
        <f>SUMIFS(Ledger!$C$5:$C$109,Ledger!$F$5:$F$109,$A50,Ledger!$B$5:$B$109,"LIH Nkurenkuru Ph 1")</f>
        <v>0</v>
      </c>
      <c r="R50" s="33">
        <f>SUMIFS(Ledger!$C$5:$C$109,Ledger!$F$5:$F$109,$A50,Ledger!$B$5:$B$109,"NIC Otjomuise Ext 10 (Erf 5221)")</f>
        <v>0</v>
      </c>
      <c r="S50" s="33">
        <f>SUMIFS(Ledger!$C$5:$C$109,Ledger!$F$5:$F$109,$A50,Ledger!$B$5:$B$109,"Heavens Ark — Otjomuise")</f>
        <v>0</v>
      </c>
    </row>
    <row r="51" spans="1:19" x14ac:dyDescent="0.3">
      <c r="A51" s="34">
        <v>45505</v>
      </c>
      <c r="B51" s="33">
        <f>SUMIFS(Ledger!$D$5:$D$109,Ledger!$F$5:$F$109,$A51)</f>
        <v>-8000000</v>
      </c>
      <c r="C51" s="33">
        <f>SUMIFS(Ledger!$E$5:$E$109,Ledger!$F$5:$F$109,$A51)</f>
        <v>0</v>
      </c>
      <c r="D51" s="33">
        <f t="shared" si="1"/>
        <v>-8000000</v>
      </c>
      <c r="E51" s="33">
        <f t="shared" si="2"/>
        <v>-8000000</v>
      </c>
      <c r="F51" s="33">
        <f>SUMIFS(Ledger!$C$5:$C$109,Ledger!$F$5:$F$109,$A51,Ledger!$B$5:$B$109,"Erf 1470 Khomasdal")</f>
        <v>0</v>
      </c>
      <c r="G51" s="33">
        <f>SUMIFS(Ledger!$C$5:$C$109,Ledger!$F$5:$F$109,$A51,Ledger!$B$5:$B$109,"Dunescape Villas (Erf 5159)")</f>
        <v>0</v>
      </c>
      <c r="H51" s="33">
        <f>SUMIFS(Ledger!$C$5:$C$109,Ledger!$F$5:$F$109,$A51,Ledger!$B$5:$B$109,"PAM Tree (Erf 5758)")</f>
        <v>0</v>
      </c>
      <c r="I51" s="33">
        <f>SUMIFS(Ledger!$C$5:$C$109,Ledger!$F$5:$F$109,$A51,Ledger!$B$5:$B$109,"Turnstone Villas (Erf 8939)")</f>
        <v>0</v>
      </c>
      <c r="J51" s="33">
        <f>SUMIFS(Ledger!$C$5:$C$109,Ledger!$F$5:$F$109,$A51,Ledger!$B$5:$B$109,"Lithon Nkurenkuru Ext 2")</f>
        <v>0</v>
      </c>
      <c r="K51" s="33">
        <f>SUMIFS(Ledger!$C$5:$C$109,Ledger!$F$5:$F$109,$A51,Ledger!$B$5:$B$109,"Mondesa Palms")</f>
        <v>0</v>
      </c>
      <c r="L51" s="33">
        <f>SUMIFS(Ledger!$C$5:$C$109,Ledger!$F$5:$F$109,$A51,Ledger!$B$5:$B$109,"The Ridge — Rocky Crest Ext 4")</f>
        <v>0</v>
      </c>
      <c r="M51" s="33">
        <f>SUMIFS(Ledger!$C$5:$C$109,Ledger!$F$5:$F$109,$A51,Ledger!$B$5:$B$109,"Mango Cove (Otjomuise Ext 10)")</f>
        <v>0</v>
      </c>
      <c r="N51" s="33">
        <f>SUMIFS(Ledger!$C$5:$C$109,Ledger!$F$5:$F$109,$A51,Ledger!$B$5:$B$109,"C-Breeze Heights")</f>
        <v>0</v>
      </c>
      <c r="O51" s="33">
        <f>SUMIFS(Ledger!$C$5:$C$109,Ledger!$F$5:$F$109,$A51,Ledger!$B$5:$B$109,"Tama Estates")</f>
        <v>0</v>
      </c>
      <c r="P51" s="33">
        <f>SUMIFS(Ledger!$C$5:$C$109,Ledger!$F$5:$F$109,$A51,Ledger!$B$5:$B$109,"Duma Tau — Kronlein")</f>
        <v>0</v>
      </c>
      <c r="Q51" s="33">
        <f>SUMIFS(Ledger!$C$5:$C$109,Ledger!$F$5:$F$109,$A51,Ledger!$B$5:$B$109,"LIH Nkurenkuru Ph 1")</f>
        <v>0</v>
      </c>
      <c r="R51" s="33">
        <f>SUMIFS(Ledger!$C$5:$C$109,Ledger!$F$5:$F$109,$A51,Ledger!$B$5:$B$109,"NIC Otjomuise Ext 10 (Erf 5221)")</f>
        <v>0</v>
      </c>
      <c r="S51" s="33">
        <f>SUMIFS(Ledger!$C$5:$C$109,Ledger!$F$5:$F$109,$A51,Ledger!$B$5:$B$109,"Heavens Ark — Otjomuise")</f>
        <v>0</v>
      </c>
    </row>
    <row r="52" spans="1:19" x14ac:dyDescent="0.3">
      <c r="A52" s="32">
        <v>45536</v>
      </c>
      <c r="B52" s="33">
        <f>SUMIFS(Ledger!$D$5:$D$109,Ledger!$F$5:$F$109,$A52)</f>
        <v>-9751000</v>
      </c>
      <c r="C52" s="33">
        <f>SUMIFS(Ledger!$E$5:$E$109,Ledger!$F$5:$F$109,$A52)</f>
        <v>0</v>
      </c>
      <c r="D52" s="33">
        <f t="shared" si="1"/>
        <v>-9751000</v>
      </c>
      <c r="E52" s="33">
        <f t="shared" si="2"/>
        <v>-9751000</v>
      </c>
      <c r="F52" s="33">
        <f>SUMIFS(Ledger!$C$5:$C$109,Ledger!$F$5:$F$109,$A52,Ledger!$B$5:$B$109,"Erf 1470 Khomasdal")</f>
        <v>0</v>
      </c>
      <c r="G52" s="33">
        <f>SUMIFS(Ledger!$C$5:$C$109,Ledger!$F$5:$F$109,$A52,Ledger!$B$5:$B$109,"Dunescape Villas (Erf 5159)")</f>
        <v>0</v>
      </c>
      <c r="H52" s="33">
        <f>SUMIFS(Ledger!$C$5:$C$109,Ledger!$F$5:$F$109,$A52,Ledger!$B$5:$B$109,"PAM Tree (Erf 5758)")</f>
        <v>0</v>
      </c>
      <c r="I52" s="33">
        <f>SUMIFS(Ledger!$C$5:$C$109,Ledger!$F$5:$F$109,$A52,Ledger!$B$5:$B$109,"Turnstone Villas (Erf 8939)")</f>
        <v>0</v>
      </c>
      <c r="J52" s="33">
        <f>SUMIFS(Ledger!$C$5:$C$109,Ledger!$F$5:$F$109,$A52,Ledger!$B$5:$B$109,"Lithon Nkurenkuru Ext 2")</f>
        <v>0</v>
      </c>
      <c r="K52" s="33">
        <f>SUMIFS(Ledger!$C$5:$C$109,Ledger!$F$5:$F$109,$A52,Ledger!$B$5:$B$109,"Mondesa Palms")</f>
        <v>0</v>
      </c>
      <c r="L52" s="33">
        <f>SUMIFS(Ledger!$C$5:$C$109,Ledger!$F$5:$F$109,$A52,Ledger!$B$5:$B$109,"The Ridge — Rocky Crest Ext 4")</f>
        <v>0</v>
      </c>
      <c r="M52" s="33">
        <f>SUMIFS(Ledger!$C$5:$C$109,Ledger!$F$5:$F$109,$A52,Ledger!$B$5:$B$109,"Mango Cove (Otjomuise Ext 10)")</f>
        <v>0</v>
      </c>
      <c r="N52" s="33">
        <f>SUMIFS(Ledger!$C$5:$C$109,Ledger!$F$5:$F$109,$A52,Ledger!$B$5:$B$109,"C-Breeze Heights")</f>
        <v>0</v>
      </c>
      <c r="O52" s="33">
        <f>SUMIFS(Ledger!$C$5:$C$109,Ledger!$F$5:$F$109,$A52,Ledger!$B$5:$B$109,"Tama Estates")</f>
        <v>0</v>
      </c>
      <c r="P52" s="33">
        <f>SUMIFS(Ledger!$C$5:$C$109,Ledger!$F$5:$F$109,$A52,Ledger!$B$5:$B$109,"Duma Tau — Kronlein")</f>
        <v>0</v>
      </c>
      <c r="Q52" s="33">
        <f>SUMIFS(Ledger!$C$5:$C$109,Ledger!$F$5:$F$109,$A52,Ledger!$B$5:$B$109,"LIH Nkurenkuru Ph 1")</f>
        <v>0</v>
      </c>
      <c r="R52" s="33">
        <f>SUMIFS(Ledger!$C$5:$C$109,Ledger!$F$5:$F$109,$A52,Ledger!$B$5:$B$109,"NIC Otjomuise Ext 10 (Erf 5221)")</f>
        <v>0</v>
      </c>
      <c r="S52" s="33">
        <f>SUMIFS(Ledger!$C$5:$C$109,Ledger!$F$5:$F$109,$A52,Ledger!$B$5:$B$109,"Heavens Ark — Otjomuise")</f>
        <v>0</v>
      </c>
    </row>
    <row r="53" spans="1:19" x14ac:dyDescent="0.3">
      <c r="A53" s="34">
        <v>45566</v>
      </c>
      <c r="B53" s="33">
        <f>SUMIFS(Ledger!$D$5:$D$109,Ledger!$F$5:$F$109,$A53)</f>
        <v>0</v>
      </c>
      <c r="C53" s="33">
        <f>SUMIFS(Ledger!$E$5:$E$109,Ledger!$F$5:$F$109,$A53)</f>
        <v>0</v>
      </c>
      <c r="D53" s="33">
        <f t="shared" si="1"/>
        <v>0</v>
      </c>
      <c r="E53" s="33">
        <f t="shared" si="2"/>
        <v>0</v>
      </c>
      <c r="F53" s="33">
        <f>SUMIFS(Ledger!$C$5:$C$109,Ledger!$F$5:$F$109,$A53,Ledger!$B$5:$B$109,"Erf 1470 Khomasdal")</f>
        <v>0</v>
      </c>
      <c r="G53" s="33">
        <f>SUMIFS(Ledger!$C$5:$C$109,Ledger!$F$5:$F$109,$A53,Ledger!$B$5:$B$109,"Dunescape Villas (Erf 5159)")</f>
        <v>0</v>
      </c>
      <c r="H53" s="33">
        <f>SUMIFS(Ledger!$C$5:$C$109,Ledger!$F$5:$F$109,$A53,Ledger!$B$5:$B$109,"PAM Tree (Erf 5758)")</f>
        <v>0</v>
      </c>
      <c r="I53" s="33">
        <f>SUMIFS(Ledger!$C$5:$C$109,Ledger!$F$5:$F$109,$A53,Ledger!$B$5:$B$109,"Turnstone Villas (Erf 8939)")</f>
        <v>0</v>
      </c>
      <c r="J53" s="33">
        <f>SUMIFS(Ledger!$C$5:$C$109,Ledger!$F$5:$F$109,$A53,Ledger!$B$5:$B$109,"Lithon Nkurenkuru Ext 2")</f>
        <v>0</v>
      </c>
      <c r="K53" s="33">
        <f>SUMIFS(Ledger!$C$5:$C$109,Ledger!$F$5:$F$109,$A53,Ledger!$B$5:$B$109,"Mondesa Palms")</f>
        <v>0</v>
      </c>
      <c r="L53" s="33">
        <f>SUMIFS(Ledger!$C$5:$C$109,Ledger!$F$5:$F$109,$A53,Ledger!$B$5:$B$109,"The Ridge — Rocky Crest Ext 4")</f>
        <v>0</v>
      </c>
      <c r="M53" s="33">
        <f>SUMIFS(Ledger!$C$5:$C$109,Ledger!$F$5:$F$109,$A53,Ledger!$B$5:$B$109,"Mango Cove (Otjomuise Ext 10)")</f>
        <v>0</v>
      </c>
      <c r="N53" s="33">
        <f>SUMIFS(Ledger!$C$5:$C$109,Ledger!$F$5:$F$109,$A53,Ledger!$B$5:$B$109,"C-Breeze Heights")</f>
        <v>0</v>
      </c>
      <c r="O53" s="33">
        <f>SUMIFS(Ledger!$C$5:$C$109,Ledger!$F$5:$F$109,$A53,Ledger!$B$5:$B$109,"Tama Estates")</f>
        <v>0</v>
      </c>
      <c r="P53" s="33">
        <f>SUMIFS(Ledger!$C$5:$C$109,Ledger!$F$5:$F$109,$A53,Ledger!$B$5:$B$109,"Duma Tau — Kronlein")</f>
        <v>0</v>
      </c>
      <c r="Q53" s="33">
        <f>SUMIFS(Ledger!$C$5:$C$109,Ledger!$F$5:$F$109,$A53,Ledger!$B$5:$B$109,"LIH Nkurenkuru Ph 1")</f>
        <v>0</v>
      </c>
      <c r="R53" s="33">
        <f>SUMIFS(Ledger!$C$5:$C$109,Ledger!$F$5:$F$109,$A53,Ledger!$B$5:$B$109,"NIC Otjomuise Ext 10 (Erf 5221)")</f>
        <v>0</v>
      </c>
      <c r="S53" s="33">
        <f>SUMIFS(Ledger!$C$5:$C$109,Ledger!$F$5:$F$109,$A53,Ledger!$B$5:$B$109,"Heavens Ark — Otjomuise")</f>
        <v>0</v>
      </c>
    </row>
    <row r="54" spans="1:19" x14ac:dyDescent="0.3">
      <c r="A54" s="32">
        <v>45597</v>
      </c>
      <c r="B54" s="33">
        <f>SUMIFS(Ledger!$D$5:$D$109,Ledger!$F$5:$F$109,$A54)</f>
        <v>-7413000</v>
      </c>
      <c r="C54" s="33">
        <f>SUMIFS(Ledger!$E$5:$E$109,Ledger!$F$5:$F$109,$A54)</f>
        <v>0</v>
      </c>
      <c r="D54" s="33">
        <f t="shared" si="1"/>
        <v>-7413000</v>
      </c>
      <c r="E54" s="33">
        <f t="shared" si="2"/>
        <v>-7413000</v>
      </c>
      <c r="F54" s="33">
        <f>SUMIFS(Ledger!$C$5:$C$109,Ledger!$F$5:$F$109,$A54,Ledger!$B$5:$B$109,"Erf 1470 Khomasdal")</f>
        <v>0</v>
      </c>
      <c r="G54" s="33">
        <f>SUMIFS(Ledger!$C$5:$C$109,Ledger!$F$5:$F$109,$A54,Ledger!$B$5:$B$109,"Dunescape Villas (Erf 5159)")</f>
        <v>0</v>
      </c>
      <c r="H54" s="33">
        <f>SUMIFS(Ledger!$C$5:$C$109,Ledger!$F$5:$F$109,$A54,Ledger!$B$5:$B$109,"PAM Tree (Erf 5758)")</f>
        <v>0</v>
      </c>
      <c r="I54" s="33">
        <f>SUMIFS(Ledger!$C$5:$C$109,Ledger!$F$5:$F$109,$A54,Ledger!$B$5:$B$109,"Turnstone Villas (Erf 8939)")</f>
        <v>0</v>
      </c>
      <c r="J54" s="33">
        <f>SUMIFS(Ledger!$C$5:$C$109,Ledger!$F$5:$F$109,$A54,Ledger!$B$5:$B$109,"Lithon Nkurenkuru Ext 2")</f>
        <v>0</v>
      </c>
      <c r="K54" s="33">
        <f>SUMIFS(Ledger!$C$5:$C$109,Ledger!$F$5:$F$109,$A54,Ledger!$B$5:$B$109,"Mondesa Palms")</f>
        <v>0</v>
      </c>
      <c r="L54" s="33">
        <f>SUMIFS(Ledger!$C$5:$C$109,Ledger!$F$5:$F$109,$A54,Ledger!$B$5:$B$109,"The Ridge — Rocky Crest Ext 4")</f>
        <v>0</v>
      </c>
      <c r="M54" s="33">
        <f>SUMIFS(Ledger!$C$5:$C$109,Ledger!$F$5:$F$109,$A54,Ledger!$B$5:$B$109,"Mango Cove (Otjomuise Ext 10)")</f>
        <v>0</v>
      </c>
      <c r="N54" s="33">
        <f>SUMIFS(Ledger!$C$5:$C$109,Ledger!$F$5:$F$109,$A54,Ledger!$B$5:$B$109,"C-Breeze Heights")</f>
        <v>0</v>
      </c>
      <c r="O54" s="33">
        <f>SUMIFS(Ledger!$C$5:$C$109,Ledger!$F$5:$F$109,$A54,Ledger!$B$5:$B$109,"Tama Estates")</f>
        <v>0</v>
      </c>
      <c r="P54" s="33">
        <f>SUMIFS(Ledger!$C$5:$C$109,Ledger!$F$5:$F$109,$A54,Ledger!$B$5:$B$109,"Duma Tau — Kronlein")</f>
        <v>0</v>
      </c>
      <c r="Q54" s="33">
        <f>SUMIFS(Ledger!$C$5:$C$109,Ledger!$F$5:$F$109,$A54,Ledger!$B$5:$B$109,"LIH Nkurenkuru Ph 1")</f>
        <v>0</v>
      </c>
      <c r="R54" s="33">
        <f>SUMIFS(Ledger!$C$5:$C$109,Ledger!$F$5:$F$109,$A54,Ledger!$B$5:$B$109,"NIC Otjomuise Ext 10 (Erf 5221)")</f>
        <v>0</v>
      </c>
      <c r="S54" s="33">
        <f>SUMIFS(Ledger!$C$5:$C$109,Ledger!$F$5:$F$109,$A54,Ledger!$B$5:$B$109,"Heavens Ark — Otjomuise")</f>
        <v>0</v>
      </c>
    </row>
    <row r="55" spans="1:19" x14ac:dyDescent="0.3">
      <c r="A55" s="34">
        <v>45627</v>
      </c>
      <c r="B55" s="33">
        <f>SUMIFS(Ledger!$D$5:$D$109,Ledger!$F$5:$F$109,$A55)</f>
        <v>-18200000</v>
      </c>
      <c r="C55" s="33">
        <f>SUMIFS(Ledger!$E$5:$E$109,Ledger!$F$5:$F$109,$A55)</f>
        <v>0</v>
      </c>
      <c r="D55" s="33">
        <f t="shared" si="1"/>
        <v>-18200000</v>
      </c>
      <c r="E55" s="33">
        <f t="shared" si="2"/>
        <v>-18200000</v>
      </c>
      <c r="F55" s="33">
        <f>SUMIFS(Ledger!$C$5:$C$109,Ledger!$F$5:$F$109,$A55,Ledger!$B$5:$B$109,"Erf 1470 Khomasdal")</f>
        <v>0</v>
      </c>
      <c r="G55" s="33">
        <f>SUMIFS(Ledger!$C$5:$C$109,Ledger!$F$5:$F$109,$A55,Ledger!$B$5:$B$109,"Dunescape Villas (Erf 5159)")</f>
        <v>0</v>
      </c>
      <c r="H55" s="33">
        <f>SUMIFS(Ledger!$C$5:$C$109,Ledger!$F$5:$F$109,$A55,Ledger!$B$5:$B$109,"PAM Tree (Erf 5758)")</f>
        <v>0</v>
      </c>
      <c r="I55" s="33">
        <f>SUMIFS(Ledger!$C$5:$C$109,Ledger!$F$5:$F$109,$A55,Ledger!$B$5:$B$109,"Turnstone Villas (Erf 8939)")</f>
        <v>0</v>
      </c>
      <c r="J55" s="33">
        <f>SUMIFS(Ledger!$C$5:$C$109,Ledger!$F$5:$F$109,$A55,Ledger!$B$5:$B$109,"Lithon Nkurenkuru Ext 2")</f>
        <v>0</v>
      </c>
      <c r="K55" s="33">
        <f>SUMIFS(Ledger!$C$5:$C$109,Ledger!$F$5:$F$109,$A55,Ledger!$B$5:$B$109,"Mondesa Palms")</f>
        <v>0</v>
      </c>
      <c r="L55" s="33">
        <f>SUMIFS(Ledger!$C$5:$C$109,Ledger!$F$5:$F$109,$A55,Ledger!$B$5:$B$109,"The Ridge — Rocky Crest Ext 4")</f>
        <v>0</v>
      </c>
      <c r="M55" s="33">
        <f>SUMIFS(Ledger!$C$5:$C$109,Ledger!$F$5:$F$109,$A55,Ledger!$B$5:$B$109,"Mango Cove (Otjomuise Ext 10)")</f>
        <v>0</v>
      </c>
      <c r="N55" s="33">
        <f>SUMIFS(Ledger!$C$5:$C$109,Ledger!$F$5:$F$109,$A55,Ledger!$B$5:$B$109,"C-Breeze Heights")</f>
        <v>0</v>
      </c>
      <c r="O55" s="33">
        <f>SUMIFS(Ledger!$C$5:$C$109,Ledger!$F$5:$F$109,$A55,Ledger!$B$5:$B$109,"Tama Estates")</f>
        <v>0</v>
      </c>
      <c r="P55" s="33">
        <f>SUMIFS(Ledger!$C$5:$C$109,Ledger!$F$5:$F$109,$A55,Ledger!$B$5:$B$109,"Duma Tau — Kronlein")</f>
        <v>0</v>
      </c>
      <c r="Q55" s="33">
        <f>SUMIFS(Ledger!$C$5:$C$109,Ledger!$F$5:$F$109,$A55,Ledger!$B$5:$B$109,"LIH Nkurenkuru Ph 1")</f>
        <v>0</v>
      </c>
      <c r="R55" s="33">
        <f>SUMIFS(Ledger!$C$5:$C$109,Ledger!$F$5:$F$109,$A55,Ledger!$B$5:$B$109,"NIC Otjomuise Ext 10 (Erf 5221)")</f>
        <v>0</v>
      </c>
      <c r="S55" s="33">
        <f>SUMIFS(Ledger!$C$5:$C$109,Ledger!$F$5:$F$109,$A55,Ledger!$B$5:$B$109,"Heavens Ark — Otjomuise")</f>
        <v>0</v>
      </c>
    </row>
    <row r="56" spans="1:19" x14ac:dyDescent="0.3">
      <c r="A56" s="32">
        <v>45689</v>
      </c>
      <c r="B56" s="33">
        <f>SUMIFS(Ledger!$D$5:$D$109,Ledger!$F$5:$F$109,$A56)</f>
        <v>-10100000</v>
      </c>
      <c r="C56" s="33">
        <f>SUMIFS(Ledger!$E$5:$E$109,Ledger!$F$5:$F$109,$A56)</f>
        <v>0</v>
      </c>
      <c r="D56" s="33">
        <f t="shared" si="1"/>
        <v>-10100000</v>
      </c>
      <c r="E56" s="33">
        <f t="shared" si="2"/>
        <v>-10100000</v>
      </c>
      <c r="F56" s="33">
        <f>SUMIFS(Ledger!$C$5:$C$109,Ledger!$F$5:$F$109,$A56,Ledger!$B$5:$B$109,"Erf 1470 Khomasdal")</f>
        <v>0</v>
      </c>
      <c r="G56" s="33">
        <f>SUMIFS(Ledger!$C$5:$C$109,Ledger!$F$5:$F$109,$A56,Ledger!$B$5:$B$109,"Dunescape Villas (Erf 5159)")</f>
        <v>0</v>
      </c>
      <c r="H56" s="33">
        <f>SUMIFS(Ledger!$C$5:$C$109,Ledger!$F$5:$F$109,$A56,Ledger!$B$5:$B$109,"PAM Tree (Erf 5758)")</f>
        <v>0</v>
      </c>
      <c r="I56" s="33">
        <f>SUMIFS(Ledger!$C$5:$C$109,Ledger!$F$5:$F$109,$A56,Ledger!$B$5:$B$109,"Turnstone Villas (Erf 8939)")</f>
        <v>0</v>
      </c>
      <c r="J56" s="33">
        <f>SUMIFS(Ledger!$C$5:$C$109,Ledger!$F$5:$F$109,$A56,Ledger!$B$5:$B$109,"Lithon Nkurenkuru Ext 2")</f>
        <v>0</v>
      </c>
      <c r="K56" s="33">
        <f>SUMIFS(Ledger!$C$5:$C$109,Ledger!$F$5:$F$109,$A56,Ledger!$B$5:$B$109,"Mondesa Palms")</f>
        <v>0</v>
      </c>
      <c r="L56" s="33">
        <f>SUMIFS(Ledger!$C$5:$C$109,Ledger!$F$5:$F$109,$A56,Ledger!$B$5:$B$109,"The Ridge — Rocky Crest Ext 4")</f>
        <v>0</v>
      </c>
      <c r="M56" s="33">
        <f>SUMIFS(Ledger!$C$5:$C$109,Ledger!$F$5:$F$109,$A56,Ledger!$B$5:$B$109,"Mango Cove (Otjomuise Ext 10)")</f>
        <v>0</v>
      </c>
      <c r="N56" s="33">
        <f>SUMIFS(Ledger!$C$5:$C$109,Ledger!$F$5:$F$109,$A56,Ledger!$B$5:$B$109,"C-Breeze Heights")</f>
        <v>0</v>
      </c>
      <c r="O56" s="33">
        <f>SUMIFS(Ledger!$C$5:$C$109,Ledger!$F$5:$F$109,$A56,Ledger!$B$5:$B$109,"Tama Estates")</f>
        <v>0</v>
      </c>
      <c r="P56" s="33">
        <f>SUMIFS(Ledger!$C$5:$C$109,Ledger!$F$5:$F$109,$A56,Ledger!$B$5:$B$109,"Duma Tau — Kronlein")</f>
        <v>0</v>
      </c>
      <c r="Q56" s="33">
        <f>SUMIFS(Ledger!$C$5:$C$109,Ledger!$F$5:$F$109,$A56,Ledger!$B$5:$B$109,"LIH Nkurenkuru Ph 1")</f>
        <v>0</v>
      </c>
      <c r="R56" s="33">
        <f>SUMIFS(Ledger!$C$5:$C$109,Ledger!$F$5:$F$109,$A56,Ledger!$B$5:$B$109,"NIC Otjomuise Ext 10 (Erf 5221)")</f>
        <v>0</v>
      </c>
      <c r="S56" s="33">
        <f>SUMIFS(Ledger!$C$5:$C$109,Ledger!$F$5:$F$109,$A56,Ledger!$B$5:$B$109,"Heavens Ark — Otjomuise")</f>
        <v>0</v>
      </c>
    </row>
    <row r="57" spans="1:19" x14ac:dyDescent="0.3">
      <c r="A57" s="34">
        <v>45748</v>
      </c>
      <c r="B57" s="33">
        <f>SUMIFS(Ledger!$D$5:$D$109,Ledger!$F$5:$F$109,$A57)</f>
        <v>-3640000</v>
      </c>
      <c r="C57" s="33">
        <f>SUMIFS(Ledger!$E$5:$E$109,Ledger!$F$5:$F$109,$A57)</f>
        <v>0</v>
      </c>
      <c r="D57" s="33">
        <f t="shared" si="1"/>
        <v>-3640000</v>
      </c>
      <c r="E57" s="33">
        <f t="shared" si="2"/>
        <v>-3640000</v>
      </c>
      <c r="F57" s="33">
        <f>SUMIFS(Ledger!$C$5:$C$109,Ledger!$F$5:$F$109,$A57,Ledger!$B$5:$B$109,"Erf 1470 Khomasdal")</f>
        <v>0</v>
      </c>
      <c r="G57" s="33">
        <f>SUMIFS(Ledger!$C$5:$C$109,Ledger!$F$5:$F$109,$A57,Ledger!$B$5:$B$109,"Dunescape Villas (Erf 5159)")</f>
        <v>0</v>
      </c>
      <c r="H57" s="33">
        <f>SUMIFS(Ledger!$C$5:$C$109,Ledger!$F$5:$F$109,$A57,Ledger!$B$5:$B$109,"PAM Tree (Erf 5758)")</f>
        <v>0</v>
      </c>
      <c r="I57" s="33">
        <f>SUMIFS(Ledger!$C$5:$C$109,Ledger!$F$5:$F$109,$A57,Ledger!$B$5:$B$109,"Turnstone Villas (Erf 8939)")</f>
        <v>0</v>
      </c>
      <c r="J57" s="33">
        <f>SUMIFS(Ledger!$C$5:$C$109,Ledger!$F$5:$F$109,$A57,Ledger!$B$5:$B$109,"Lithon Nkurenkuru Ext 2")</f>
        <v>0</v>
      </c>
      <c r="K57" s="33">
        <f>SUMIFS(Ledger!$C$5:$C$109,Ledger!$F$5:$F$109,$A57,Ledger!$B$5:$B$109,"Mondesa Palms")</f>
        <v>0</v>
      </c>
      <c r="L57" s="33">
        <f>SUMIFS(Ledger!$C$5:$C$109,Ledger!$F$5:$F$109,$A57,Ledger!$B$5:$B$109,"The Ridge — Rocky Crest Ext 4")</f>
        <v>0</v>
      </c>
      <c r="M57" s="33">
        <f>SUMIFS(Ledger!$C$5:$C$109,Ledger!$F$5:$F$109,$A57,Ledger!$B$5:$B$109,"Mango Cove (Otjomuise Ext 10)")</f>
        <v>0</v>
      </c>
      <c r="N57" s="33">
        <f>SUMIFS(Ledger!$C$5:$C$109,Ledger!$F$5:$F$109,$A57,Ledger!$B$5:$B$109,"C-Breeze Heights")</f>
        <v>0</v>
      </c>
      <c r="O57" s="33">
        <f>SUMIFS(Ledger!$C$5:$C$109,Ledger!$F$5:$F$109,$A57,Ledger!$B$5:$B$109,"Tama Estates")</f>
        <v>0</v>
      </c>
      <c r="P57" s="33">
        <f>SUMIFS(Ledger!$C$5:$C$109,Ledger!$F$5:$F$109,$A57,Ledger!$B$5:$B$109,"Duma Tau — Kronlein")</f>
        <v>0</v>
      </c>
      <c r="Q57" s="33">
        <f>SUMIFS(Ledger!$C$5:$C$109,Ledger!$F$5:$F$109,$A57,Ledger!$B$5:$B$109,"LIH Nkurenkuru Ph 1")</f>
        <v>0</v>
      </c>
      <c r="R57" s="33">
        <f>SUMIFS(Ledger!$C$5:$C$109,Ledger!$F$5:$F$109,$A57,Ledger!$B$5:$B$109,"NIC Otjomuise Ext 10 (Erf 5221)")</f>
        <v>0</v>
      </c>
      <c r="S57" s="33">
        <f>SUMIFS(Ledger!$C$5:$C$109,Ledger!$F$5:$F$109,$A57,Ledger!$B$5:$B$109,"Heavens Ark — Otjomuise")</f>
        <v>0</v>
      </c>
    </row>
    <row r="58" spans="1:19" x14ac:dyDescent="0.3">
      <c r="A58" s="32">
        <v>45778</v>
      </c>
      <c r="B58" s="33">
        <f>SUMIFS(Ledger!$D$5:$D$109,Ledger!$F$5:$F$109,$A58)</f>
        <v>0</v>
      </c>
      <c r="C58" s="33">
        <f>SUMIFS(Ledger!$E$5:$E$109,Ledger!$F$5:$F$109,$A58)</f>
        <v>0</v>
      </c>
      <c r="D58" s="33">
        <f t="shared" si="1"/>
        <v>0</v>
      </c>
      <c r="E58" s="33">
        <f t="shared" si="2"/>
        <v>0</v>
      </c>
      <c r="F58" s="33">
        <f>SUMIFS(Ledger!$C$5:$C$109,Ledger!$F$5:$F$109,$A58,Ledger!$B$5:$B$109,"Erf 1470 Khomasdal")</f>
        <v>0</v>
      </c>
      <c r="G58" s="33">
        <f>SUMIFS(Ledger!$C$5:$C$109,Ledger!$F$5:$F$109,$A58,Ledger!$B$5:$B$109,"Dunescape Villas (Erf 5159)")</f>
        <v>0</v>
      </c>
      <c r="H58" s="33">
        <f>SUMIFS(Ledger!$C$5:$C$109,Ledger!$F$5:$F$109,$A58,Ledger!$B$5:$B$109,"PAM Tree (Erf 5758)")</f>
        <v>0</v>
      </c>
      <c r="I58" s="33">
        <f>SUMIFS(Ledger!$C$5:$C$109,Ledger!$F$5:$F$109,$A58,Ledger!$B$5:$B$109,"Turnstone Villas (Erf 8939)")</f>
        <v>0</v>
      </c>
      <c r="J58" s="33">
        <f>SUMIFS(Ledger!$C$5:$C$109,Ledger!$F$5:$F$109,$A58,Ledger!$B$5:$B$109,"Lithon Nkurenkuru Ext 2")</f>
        <v>0</v>
      </c>
      <c r="K58" s="33">
        <f>SUMIFS(Ledger!$C$5:$C$109,Ledger!$F$5:$F$109,$A58,Ledger!$B$5:$B$109,"Mondesa Palms")</f>
        <v>0</v>
      </c>
      <c r="L58" s="33">
        <f>SUMIFS(Ledger!$C$5:$C$109,Ledger!$F$5:$F$109,$A58,Ledger!$B$5:$B$109,"The Ridge — Rocky Crest Ext 4")</f>
        <v>0</v>
      </c>
      <c r="M58" s="33">
        <f>SUMIFS(Ledger!$C$5:$C$109,Ledger!$F$5:$F$109,$A58,Ledger!$B$5:$B$109,"Mango Cove (Otjomuise Ext 10)")</f>
        <v>0</v>
      </c>
      <c r="N58" s="33">
        <f>SUMIFS(Ledger!$C$5:$C$109,Ledger!$F$5:$F$109,$A58,Ledger!$B$5:$B$109,"C-Breeze Heights")</f>
        <v>0</v>
      </c>
      <c r="O58" s="33">
        <f>SUMIFS(Ledger!$C$5:$C$109,Ledger!$F$5:$F$109,$A58,Ledger!$B$5:$B$109,"Tama Estates")</f>
        <v>0</v>
      </c>
      <c r="P58" s="33">
        <f>SUMIFS(Ledger!$C$5:$C$109,Ledger!$F$5:$F$109,$A58,Ledger!$B$5:$B$109,"Duma Tau — Kronlein")</f>
        <v>0</v>
      </c>
      <c r="Q58" s="33">
        <f>SUMIFS(Ledger!$C$5:$C$109,Ledger!$F$5:$F$109,$A58,Ledger!$B$5:$B$109,"LIH Nkurenkuru Ph 1")</f>
        <v>0</v>
      </c>
      <c r="R58" s="33">
        <f>SUMIFS(Ledger!$C$5:$C$109,Ledger!$F$5:$F$109,$A58,Ledger!$B$5:$B$109,"NIC Otjomuise Ext 10 (Erf 5221)")</f>
        <v>0</v>
      </c>
      <c r="S58" s="33">
        <f>SUMIFS(Ledger!$C$5:$C$109,Ledger!$F$5:$F$109,$A58,Ledger!$B$5:$B$109,"Heavens Ark — Otjomuise")</f>
        <v>0</v>
      </c>
    </row>
    <row r="59" spans="1:19" x14ac:dyDescent="0.3">
      <c r="A59" s="34">
        <v>45809</v>
      </c>
      <c r="B59" s="33">
        <f>SUMIFS(Ledger!$D$5:$D$109,Ledger!$F$5:$F$109,$A59)</f>
        <v>0</v>
      </c>
      <c r="C59" s="33">
        <f>SUMIFS(Ledger!$E$5:$E$109,Ledger!$F$5:$F$109,$A59)</f>
        <v>0</v>
      </c>
      <c r="D59" s="33">
        <f t="shared" si="1"/>
        <v>0</v>
      </c>
      <c r="E59" s="33">
        <f t="shared" si="2"/>
        <v>0</v>
      </c>
      <c r="F59" s="33">
        <f>SUMIFS(Ledger!$C$5:$C$109,Ledger!$F$5:$F$109,$A59,Ledger!$B$5:$B$109,"Erf 1470 Khomasdal")</f>
        <v>0</v>
      </c>
      <c r="G59" s="33">
        <f>SUMIFS(Ledger!$C$5:$C$109,Ledger!$F$5:$F$109,$A59,Ledger!$B$5:$B$109,"Dunescape Villas (Erf 5159)")</f>
        <v>0</v>
      </c>
      <c r="H59" s="33">
        <f>SUMIFS(Ledger!$C$5:$C$109,Ledger!$F$5:$F$109,$A59,Ledger!$B$5:$B$109,"PAM Tree (Erf 5758)")</f>
        <v>0</v>
      </c>
      <c r="I59" s="33">
        <f>SUMIFS(Ledger!$C$5:$C$109,Ledger!$F$5:$F$109,$A59,Ledger!$B$5:$B$109,"Turnstone Villas (Erf 8939)")</f>
        <v>0</v>
      </c>
      <c r="J59" s="33">
        <f>SUMIFS(Ledger!$C$5:$C$109,Ledger!$F$5:$F$109,$A59,Ledger!$B$5:$B$109,"Lithon Nkurenkuru Ext 2")</f>
        <v>0</v>
      </c>
      <c r="K59" s="33">
        <f>SUMIFS(Ledger!$C$5:$C$109,Ledger!$F$5:$F$109,$A59,Ledger!$B$5:$B$109,"Mondesa Palms")</f>
        <v>0</v>
      </c>
      <c r="L59" s="33">
        <f>SUMIFS(Ledger!$C$5:$C$109,Ledger!$F$5:$F$109,$A59,Ledger!$B$5:$B$109,"The Ridge — Rocky Crest Ext 4")</f>
        <v>0</v>
      </c>
      <c r="M59" s="33">
        <f>SUMIFS(Ledger!$C$5:$C$109,Ledger!$F$5:$F$109,$A59,Ledger!$B$5:$B$109,"Mango Cove (Otjomuise Ext 10)")</f>
        <v>0</v>
      </c>
      <c r="N59" s="33">
        <f>SUMIFS(Ledger!$C$5:$C$109,Ledger!$F$5:$F$109,$A59,Ledger!$B$5:$B$109,"C-Breeze Heights")</f>
        <v>0</v>
      </c>
      <c r="O59" s="33">
        <f>SUMIFS(Ledger!$C$5:$C$109,Ledger!$F$5:$F$109,$A59,Ledger!$B$5:$B$109,"Tama Estates")</f>
        <v>0</v>
      </c>
      <c r="P59" s="33">
        <f>SUMIFS(Ledger!$C$5:$C$109,Ledger!$F$5:$F$109,$A59,Ledger!$B$5:$B$109,"Duma Tau — Kronlein")</f>
        <v>0</v>
      </c>
      <c r="Q59" s="33">
        <f>SUMIFS(Ledger!$C$5:$C$109,Ledger!$F$5:$F$109,$A59,Ledger!$B$5:$B$109,"LIH Nkurenkuru Ph 1")</f>
        <v>0</v>
      </c>
      <c r="R59" s="33">
        <f>SUMIFS(Ledger!$C$5:$C$109,Ledger!$F$5:$F$109,$A59,Ledger!$B$5:$B$109,"NIC Otjomuise Ext 10 (Erf 5221)")</f>
        <v>0</v>
      </c>
      <c r="S59" s="33">
        <f>SUMIFS(Ledger!$C$5:$C$109,Ledger!$F$5:$F$109,$A59,Ledger!$B$5:$B$109,"Heavens Ark — Otjomuise")</f>
        <v>0</v>
      </c>
    </row>
    <row r="60" spans="1:19" x14ac:dyDescent="0.3">
      <c r="A60" s="32">
        <v>45839</v>
      </c>
      <c r="B60" s="33">
        <f>SUMIFS(Ledger!$D$5:$D$109,Ledger!$F$5:$F$109,$A60)</f>
        <v>-7400000</v>
      </c>
      <c r="C60" s="33">
        <f>SUMIFS(Ledger!$E$5:$E$109,Ledger!$F$5:$F$109,$A60)</f>
        <v>0</v>
      </c>
      <c r="D60" s="33">
        <f t="shared" si="1"/>
        <v>-7400000</v>
      </c>
      <c r="E60" s="33">
        <f t="shared" si="2"/>
        <v>-7400000</v>
      </c>
      <c r="F60" s="33">
        <f>SUMIFS(Ledger!$C$5:$C$109,Ledger!$F$5:$F$109,$A60,Ledger!$B$5:$B$109,"Erf 1470 Khomasdal")</f>
        <v>0</v>
      </c>
      <c r="G60" s="33">
        <f>SUMIFS(Ledger!$C$5:$C$109,Ledger!$F$5:$F$109,$A60,Ledger!$B$5:$B$109,"Dunescape Villas (Erf 5159)")</f>
        <v>0</v>
      </c>
      <c r="H60" s="33">
        <f>SUMIFS(Ledger!$C$5:$C$109,Ledger!$F$5:$F$109,$A60,Ledger!$B$5:$B$109,"PAM Tree (Erf 5758)")</f>
        <v>0</v>
      </c>
      <c r="I60" s="33">
        <f>SUMIFS(Ledger!$C$5:$C$109,Ledger!$F$5:$F$109,$A60,Ledger!$B$5:$B$109,"Turnstone Villas (Erf 8939)")</f>
        <v>0</v>
      </c>
      <c r="J60" s="33">
        <f>SUMIFS(Ledger!$C$5:$C$109,Ledger!$F$5:$F$109,$A60,Ledger!$B$5:$B$109,"Lithon Nkurenkuru Ext 2")</f>
        <v>0</v>
      </c>
      <c r="K60" s="33">
        <f>SUMIFS(Ledger!$C$5:$C$109,Ledger!$F$5:$F$109,$A60,Ledger!$B$5:$B$109,"Mondesa Palms")</f>
        <v>0</v>
      </c>
      <c r="L60" s="33">
        <f>SUMIFS(Ledger!$C$5:$C$109,Ledger!$F$5:$F$109,$A60,Ledger!$B$5:$B$109,"The Ridge — Rocky Crest Ext 4")</f>
        <v>0</v>
      </c>
      <c r="M60" s="33">
        <f>SUMIFS(Ledger!$C$5:$C$109,Ledger!$F$5:$F$109,$A60,Ledger!$B$5:$B$109,"Mango Cove (Otjomuise Ext 10)")</f>
        <v>0</v>
      </c>
      <c r="N60" s="33">
        <f>SUMIFS(Ledger!$C$5:$C$109,Ledger!$F$5:$F$109,$A60,Ledger!$B$5:$B$109,"C-Breeze Heights")</f>
        <v>0</v>
      </c>
      <c r="O60" s="33">
        <f>SUMIFS(Ledger!$C$5:$C$109,Ledger!$F$5:$F$109,$A60,Ledger!$B$5:$B$109,"Tama Estates")</f>
        <v>0</v>
      </c>
      <c r="P60" s="33">
        <f>SUMIFS(Ledger!$C$5:$C$109,Ledger!$F$5:$F$109,$A60,Ledger!$B$5:$B$109,"Duma Tau — Kronlein")</f>
        <v>0</v>
      </c>
      <c r="Q60" s="33">
        <f>SUMIFS(Ledger!$C$5:$C$109,Ledger!$F$5:$F$109,$A60,Ledger!$B$5:$B$109,"LIH Nkurenkuru Ph 1")</f>
        <v>0</v>
      </c>
      <c r="R60" s="33">
        <f>SUMIFS(Ledger!$C$5:$C$109,Ledger!$F$5:$F$109,$A60,Ledger!$B$5:$B$109,"NIC Otjomuise Ext 10 (Erf 5221)")</f>
        <v>0</v>
      </c>
      <c r="S60" s="33">
        <f>SUMIFS(Ledger!$C$5:$C$109,Ledger!$F$5:$F$109,$A60,Ledger!$B$5:$B$109,"Heavens Ark — Otjomuise")</f>
        <v>0</v>
      </c>
    </row>
    <row r="61" spans="1:19" x14ac:dyDescent="0.3">
      <c r="A61" s="34">
        <v>45870</v>
      </c>
      <c r="B61" s="33">
        <f>SUMIFS(Ledger!$D$5:$D$109,Ledger!$F$5:$F$109,$A61)</f>
        <v>-20000000</v>
      </c>
      <c r="C61" s="33">
        <f>SUMIFS(Ledger!$E$5:$E$109,Ledger!$F$5:$F$109,$A61)</f>
        <v>0</v>
      </c>
      <c r="D61" s="33">
        <f t="shared" si="1"/>
        <v>-20000000</v>
      </c>
      <c r="E61" s="33">
        <f t="shared" si="2"/>
        <v>-20000000</v>
      </c>
      <c r="F61" s="33">
        <f>SUMIFS(Ledger!$C$5:$C$109,Ledger!$F$5:$F$109,$A61,Ledger!$B$5:$B$109,"Erf 1470 Khomasdal")</f>
        <v>0</v>
      </c>
      <c r="G61" s="33">
        <f>SUMIFS(Ledger!$C$5:$C$109,Ledger!$F$5:$F$109,$A61,Ledger!$B$5:$B$109,"Dunescape Villas (Erf 5159)")</f>
        <v>0</v>
      </c>
      <c r="H61" s="33">
        <f>SUMIFS(Ledger!$C$5:$C$109,Ledger!$F$5:$F$109,$A61,Ledger!$B$5:$B$109,"PAM Tree (Erf 5758)")</f>
        <v>0</v>
      </c>
      <c r="I61" s="33">
        <f>SUMIFS(Ledger!$C$5:$C$109,Ledger!$F$5:$F$109,$A61,Ledger!$B$5:$B$109,"Turnstone Villas (Erf 8939)")</f>
        <v>0</v>
      </c>
      <c r="J61" s="33">
        <f>SUMIFS(Ledger!$C$5:$C$109,Ledger!$F$5:$F$109,$A61,Ledger!$B$5:$B$109,"Lithon Nkurenkuru Ext 2")</f>
        <v>0</v>
      </c>
      <c r="K61" s="33">
        <f>SUMIFS(Ledger!$C$5:$C$109,Ledger!$F$5:$F$109,$A61,Ledger!$B$5:$B$109,"Mondesa Palms")</f>
        <v>0</v>
      </c>
      <c r="L61" s="33">
        <f>SUMIFS(Ledger!$C$5:$C$109,Ledger!$F$5:$F$109,$A61,Ledger!$B$5:$B$109,"The Ridge — Rocky Crest Ext 4")</f>
        <v>0</v>
      </c>
      <c r="M61" s="33">
        <f>SUMIFS(Ledger!$C$5:$C$109,Ledger!$F$5:$F$109,$A61,Ledger!$B$5:$B$109,"Mango Cove (Otjomuise Ext 10)")</f>
        <v>0</v>
      </c>
      <c r="N61" s="33">
        <f>SUMIFS(Ledger!$C$5:$C$109,Ledger!$F$5:$F$109,$A61,Ledger!$B$5:$B$109,"C-Breeze Heights")</f>
        <v>0</v>
      </c>
      <c r="O61" s="33">
        <f>SUMIFS(Ledger!$C$5:$C$109,Ledger!$F$5:$F$109,$A61,Ledger!$B$5:$B$109,"Tama Estates")</f>
        <v>0</v>
      </c>
      <c r="P61" s="33">
        <f>SUMIFS(Ledger!$C$5:$C$109,Ledger!$F$5:$F$109,$A61,Ledger!$B$5:$B$109,"Duma Tau — Kronlein")</f>
        <v>0</v>
      </c>
      <c r="Q61" s="33">
        <f>SUMIFS(Ledger!$C$5:$C$109,Ledger!$F$5:$F$109,$A61,Ledger!$B$5:$B$109,"LIH Nkurenkuru Ph 1")</f>
        <v>0</v>
      </c>
      <c r="R61" s="33">
        <f>SUMIFS(Ledger!$C$5:$C$109,Ledger!$F$5:$F$109,$A61,Ledger!$B$5:$B$109,"NIC Otjomuise Ext 10 (Erf 5221)")</f>
        <v>0</v>
      </c>
      <c r="S61" s="33">
        <f>SUMIFS(Ledger!$C$5:$C$109,Ledger!$F$5:$F$109,$A61,Ledger!$B$5:$B$109,"Heavens Ark — Otjomuise")</f>
        <v>0</v>
      </c>
    </row>
    <row r="62" spans="1:19" x14ac:dyDescent="0.3">
      <c r="A62" s="32">
        <v>45901</v>
      </c>
      <c r="B62" s="33">
        <f>SUMIFS(Ledger!$D$5:$D$109,Ledger!$F$5:$F$109,$A62)</f>
        <v>-12000000</v>
      </c>
      <c r="C62" s="33">
        <f>SUMIFS(Ledger!$E$5:$E$109,Ledger!$F$5:$F$109,$A62)</f>
        <v>24000000</v>
      </c>
      <c r="D62" s="33">
        <f t="shared" si="1"/>
        <v>12000000</v>
      </c>
      <c r="E62" s="33">
        <f t="shared" si="2"/>
        <v>12000000</v>
      </c>
      <c r="F62" s="33">
        <f>SUMIFS(Ledger!$C$5:$C$109,Ledger!$F$5:$F$109,$A62,Ledger!$B$5:$B$109,"Erf 1470 Khomasdal")</f>
        <v>0</v>
      </c>
      <c r="G62" s="33">
        <f>SUMIFS(Ledger!$C$5:$C$109,Ledger!$F$5:$F$109,$A62,Ledger!$B$5:$B$109,"Dunescape Villas (Erf 5159)")</f>
        <v>0</v>
      </c>
      <c r="H62" s="33">
        <f>SUMIFS(Ledger!$C$5:$C$109,Ledger!$F$5:$F$109,$A62,Ledger!$B$5:$B$109,"PAM Tree (Erf 5758)")</f>
        <v>0</v>
      </c>
      <c r="I62" s="33">
        <f>SUMIFS(Ledger!$C$5:$C$109,Ledger!$F$5:$F$109,$A62,Ledger!$B$5:$B$109,"Turnstone Villas (Erf 8939)")</f>
        <v>0</v>
      </c>
      <c r="J62" s="33">
        <f>SUMIFS(Ledger!$C$5:$C$109,Ledger!$F$5:$F$109,$A62,Ledger!$B$5:$B$109,"Lithon Nkurenkuru Ext 2")</f>
        <v>0</v>
      </c>
      <c r="K62" s="33">
        <f>SUMIFS(Ledger!$C$5:$C$109,Ledger!$F$5:$F$109,$A62,Ledger!$B$5:$B$109,"Mondesa Palms")</f>
        <v>0</v>
      </c>
      <c r="L62" s="33">
        <f>SUMIFS(Ledger!$C$5:$C$109,Ledger!$F$5:$F$109,$A62,Ledger!$B$5:$B$109,"The Ridge — Rocky Crest Ext 4")</f>
        <v>0</v>
      </c>
      <c r="M62" s="33">
        <f>SUMIFS(Ledger!$C$5:$C$109,Ledger!$F$5:$F$109,$A62,Ledger!$B$5:$B$109,"Mango Cove (Otjomuise Ext 10)")</f>
        <v>0</v>
      </c>
      <c r="N62" s="33">
        <f>SUMIFS(Ledger!$C$5:$C$109,Ledger!$F$5:$F$109,$A62,Ledger!$B$5:$B$109,"C-Breeze Heights")</f>
        <v>0</v>
      </c>
      <c r="O62" s="33">
        <f>SUMIFS(Ledger!$C$5:$C$109,Ledger!$F$5:$F$109,$A62,Ledger!$B$5:$B$109,"Tama Estates")</f>
        <v>0</v>
      </c>
      <c r="P62" s="33">
        <f>SUMIFS(Ledger!$C$5:$C$109,Ledger!$F$5:$F$109,$A62,Ledger!$B$5:$B$109,"Duma Tau — Kronlein")</f>
        <v>0</v>
      </c>
      <c r="Q62" s="33">
        <f>SUMIFS(Ledger!$C$5:$C$109,Ledger!$F$5:$F$109,$A62,Ledger!$B$5:$B$109,"LIH Nkurenkuru Ph 1")</f>
        <v>0</v>
      </c>
      <c r="R62" s="33">
        <f>SUMIFS(Ledger!$C$5:$C$109,Ledger!$F$5:$F$109,$A62,Ledger!$B$5:$B$109,"NIC Otjomuise Ext 10 (Erf 5221)")</f>
        <v>0</v>
      </c>
      <c r="S62" s="33">
        <f>SUMIFS(Ledger!$C$5:$C$109,Ledger!$F$5:$F$109,$A62,Ledger!$B$5:$B$109,"Heavens Ark — Otjomuise")</f>
        <v>0</v>
      </c>
    </row>
    <row r="63" spans="1:19" x14ac:dyDescent="0.3">
      <c r="A63" s="34">
        <v>45931</v>
      </c>
      <c r="B63" s="33">
        <f>SUMIFS(Ledger!$D$5:$D$109,Ledger!$F$5:$F$109,$A63)</f>
        <v>-2260000</v>
      </c>
      <c r="C63" s="33">
        <f>SUMIFS(Ledger!$E$5:$E$109,Ledger!$F$5:$F$109,$A63)</f>
        <v>0</v>
      </c>
      <c r="D63" s="33">
        <f t="shared" si="1"/>
        <v>-2260000</v>
      </c>
      <c r="E63" s="33">
        <f t="shared" si="2"/>
        <v>-2260000</v>
      </c>
      <c r="F63" s="33">
        <f>SUMIFS(Ledger!$C$5:$C$109,Ledger!$F$5:$F$109,$A63,Ledger!$B$5:$B$109,"Erf 1470 Khomasdal")</f>
        <v>0</v>
      </c>
      <c r="G63" s="33">
        <f>SUMIFS(Ledger!$C$5:$C$109,Ledger!$F$5:$F$109,$A63,Ledger!$B$5:$B$109,"Dunescape Villas (Erf 5159)")</f>
        <v>0</v>
      </c>
      <c r="H63" s="33">
        <f>SUMIFS(Ledger!$C$5:$C$109,Ledger!$F$5:$F$109,$A63,Ledger!$B$5:$B$109,"PAM Tree (Erf 5758)")</f>
        <v>0</v>
      </c>
      <c r="I63" s="33">
        <f>SUMIFS(Ledger!$C$5:$C$109,Ledger!$F$5:$F$109,$A63,Ledger!$B$5:$B$109,"Turnstone Villas (Erf 8939)")</f>
        <v>0</v>
      </c>
      <c r="J63" s="33">
        <f>SUMIFS(Ledger!$C$5:$C$109,Ledger!$F$5:$F$109,$A63,Ledger!$B$5:$B$109,"Lithon Nkurenkuru Ext 2")</f>
        <v>0</v>
      </c>
      <c r="K63" s="33">
        <f>SUMIFS(Ledger!$C$5:$C$109,Ledger!$F$5:$F$109,$A63,Ledger!$B$5:$B$109,"Mondesa Palms")</f>
        <v>0</v>
      </c>
      <c r="L63" s="33">
        <f>SUMIFS(Ledger!$C$5:$C$109,Ledger!$F$5:$F$109,$A63,Ledger!$B$5:$B$109,"The Ridge — Rocky Crest Ext 4")</f>
        <v>0</v>
      </c>
      <c r="M63" s="33">
        <f>SUMIFS(Ledger!$C$5:$C$109,Ledger!$F$5:$F$109,$A63,Ledger!$B$5:$B$109,"Mango Cove (Otjomuise Ext 10)")</f>
        <v>0</v>
      </c>
      <c r="N63" s="33">
        <f>SUMIFS(Ledger!$C$5:$C$109,Ledger!$F$5:$F$109,$A63,Ledger!$B$5:$B$109,"C-Breeze Heights")</f>
        <v>0</v>
      </c>
      <c r="O63" s="33">
        <f>SUMIFS(Ledger!$C$5:$C$109,Ledger!$F$5:$F$109,$A63,Ledger!$B$5:$B$109,"Tama Estates")</f>
        <v>0</v>
      </c>
      <c r="P63" s="33">
        <f>SUMIFS(Ledger!$C$5:$C$109,Ledger!$F$5:$F$109,$A63,Ledger!$B$5:$B$109,"Duma Tau — Kronlein")</f>
        <v>0</v>
      </c>
      <c r="Q63" s="33">
        <f>SUMIFS(Ledger!$C$5:$C$109,Ledger!$F$5:$F$109,$A63,Ledger!$B$5:$B$109,"LIH Nkurenkuru Ph 1")</f>
        <v>0</v>
      </c>
      <c r="R63" s="33">
        <f>SUMIFS(Ledger!$C$5:$C$109,Ledger!$F$5:$F$109,$A63,Ledger!$B$5:$B$109,"NIC Otjomuise Ext 10 (Erf 5221)")</f>
        <v>0</v>
      </c>
      <c r="S63" s="33">
        <f>SUMIFS(Ledger!$C$5:$C$109,Ledger!$F$5:$F$109,$A63,Ledger!$B$5:$B$109,"Heavens Ark — Otjomuise")</f>
        <v>0</v>
      </c>
    </row>
    <row r="64" spans="1:19" x14ac:dyDescent="0.3">
      <c r="A64" s="32">
        <v>45962</v>
      </c>
      <c r="B64" s="33">
        <f>SUMIFS(Ledger!$D$5:$D$109,Ledger!$F$5:$F$109,$A64)</f>
        <v>-10750000</v>
      </c>
      <c r="C64" s="33">
        <f>SUMIFS(Ledger!$E$5:$E$109,Ledger!$F$5:$F$109,$A64)</f>
        <v>0</v>
      </c>
      <c r="D64" s="33">
        <f t="shared" si="1"/>
        <v>-10750000</v>
      </c>
      <c r="E64" s="33">
        <f t="shared" si="2"/>
        <v>-10750000</v>
      </c>
      <c r="F64" s="33">
        <f>SUMIFS(Ledger!$C$5:$C$109,Ledger!$F$5:$F$109,$A64,Ledger!$B$5:$B$109,"Erf 1470 Khomasdal")</f>
        <v>0</v>
      </c>
      <c r="G64" s="33">
        <f>SUMIFS(Ledger!$C$5:$C$109,Ledger!$F$5:$F$109,$A64,Ledger!$B$5:$B$109,"Dunescape Villas (Erf 5159)")</f>
        <v>0</v>
      </c>
      <c r="H64" s="33">
        <f>SUMIFS(Ledger!$C$5:$C$109,Ledger!$F$5:$F$109,$A64,Ledger!$B$5:$B$109,"PAM Tree (Erf 5758)")</f>
        <v>0</v>
      </c>
      <c r="I64" s="33">
        <f>SUMIFS(Ledger!$C$5:$C$109,Ledger!$F$5:$F$109,$A64,Ledger!$B$5:$B$109,"Turnstone Villas (Erf 8939)")</f>
        <v>0</v>
      </c>
      <c r="J64" s="33">
        <f>SUMIFS(Ledger!$C$5:$C$109,Ledger!$F$5:$F$109,$A64,Ledger!$B$5:$B$109,"Lithon Nkurenkuru Ext 2")</f>
        <v>0</v>
      </c>
      <c r="K64" s="33">
        <f>SUMIFS(Ledger!$C$5:$C$109,Ledger!$F$5:$F$109,$A64,Ledger!$B$5:$B$109,"Mondesa Palms")</f>
        <v>0</v>
      </c>
      <c r="L64" s="33">
        <f>SUMIFS(Ledger!$C$5:$C$109,Ledger!$F$5:$F$109,$A64,Ledger!$B$5:$B$109,"The Ridge — Rocky Crest Ext 4")</f>
        <v>0</v>
      </c>
      <c r="M64" s="33">
        <f>SUMIFS(Ledger!$C$5:$C$109,Ledger!$F$5:$F$109,$A64,Ledger!$B$5:$B$109,"Mango Cove (Otjomuise Ext 10)")</f>
        <v>0</v>
      </c>
      <c r="N64" s="33">
        <f>SUMIFS(Ledger!$C$5:$C$109,Ledger!$F$5:$F$109,$A64,Ledger!$B$5:$B$109,"C-Breeze Heights")</f>
        <v>0</v>
      </c>
      <c r="O64" s="33">
        <f>SUMIFS(Ledger!$C$5:$C$109,Ledger!$F$5:$F$109,$A64,Ledger!$B$5:$B$109,"Tama Estates")</f>
        <v>0</v>
      </c>
      <c r="P64" s="33">
        <f>SUMIFS(Ledger!$C$5:$C$109,Ledger!$F$5:$F$109,$A64,Ledger!$B$5:$B$109,"Duma Tau — Kronlein")</f>
        <v>0</v>
      </c>
      <c r="Q64" s="33">
        <f>SUMIFS(Ledger!$C$5:$C$109,Ledger!$F$5:$F$109,$A64,Ledger!$B$5:$B$109,"LIH Nkurenkuru Ph 1")</f>
        <v>0</v>
      </c>
      <c r="R64" s="33">
        <f>SUMIFS(Ledger!$C$5:$C$109,Ledger!$F$5:$F$109,$A64,Ledger!$B$5:$B$109,"NIC Otjomuise Ext 10 (Erf 5221)")</f>
        <v>0</v>
      </c>
      <c r="S64" s="33">
        <f>SUMIFS(Ledger!$C$5:$C$109,Ledger!$F$5:$F$109,$A64,Ledger!$B$5:$B$109,"Heavens Ark — Otjomuise")</f>
        <v>0</v>
      </c>
    </row>
    <row r="65" spans="1:19" x14ac:dyDescent="0.3">
      <c r="A65" s="34">
        <v>46082</v>
      </c>
      <c r="B65" s="33">
        <f>SUMIFS(Ledger!$D$5:$D$109,Ledger!$F$5:$F$109,$A65)</f>
        <v>-13600000</v>
      </c>
      <c r="C65" s="33">
        <f>SUMIFS(Ledger!$E$5:$E$109,Ledger!$F$5:$F$109,$A65)</f>
        <v>0</v>
      </c>
      <c r="D65" s="33">
        <f t="shared" si="1"/>
        <v>-13600000</v>
      </c>
      <c r="E65" s="33">
        <f t="shared" si="2"/>
        <v>-13600000</v>
      </c>
      <c r="F65" s="33">
        <f>SUMIFS(Ledger!$C$5:$C$109,Ledger!$F$5:$F$109,$A65,Ledger!$B$5:$B$109,"Erf 1470 Khomasdal")</f>
        <v>0</v>
      </c>
      <c r="G65" s="33">
        <f>SUMIFS(Ledger!$C$5:$C$109,Ledger!$F$5:$F$109,$A65,Ledger!$B$5:$B$109,"Dunescape Villas (Erf 5159)")</f>
        <v>0</v>
      </c>
      <c r="H65" s="33">
        <f>SUMIFS(Ledger!$C$5:$C$109,Ledger!$F$5:$F$109,$A65,Ledger!$B$5:$B$109,"PAM Tree (Erf 5758)")</f>
        <v>0</v>
      </c>
      <c r="I65" s="33">
        <f>SUMIFS(Ledger!$C$5:$C$109,Ledger!$F$5:$F$109,$A65,Ledger!$B$5:$B$109,"Turnstone Villas (Erf 8939)")</f>
        <v>0</v>
      </c>
      <c r="J65" s="33">
        <f>SUMIFS(Ledger!$C$5:$C$109,Ledger!$F$5:$F$109,$A65,Ledger!$B$5:$B$109,"Lithon Nkurenkuru Ext 2")</f>
        <v>0</v>
      </c>
      <c r="K65" s="33">
        <f>SUMIFS(Ledger!$C$5:$C$109,Ledger!$F$5:$F$109,$A65,Ledger!$B$5:$B$109,"Mondesa Palms")</f>
        <v>0</v>
      </c>
      <c r="L65" s="33">
        <f>SUMIFS(Ledger!$C$5:$C$109,Ledger!$F$5:$F$109,$A65,Ledger!$B$5:$B$109,"The Ridge — Rocky Crest Ext 4")</f>
        <v>0</v>
      </c>
      <c r="M65" s="33">
        <f>SUMIFS(Ledger!$C$5:$C$109,Ledger!$F$5:$F$109,$A65,Ledger!$B$5:$B$109,"Mango Cove (Otjomuise Ext 10)")</f>
        <v>0</v>
      </c>
      <c r="N65" s="33">
        <f>SUMIFS(Ledger!$C$5:$C$109,Ledger!$F$5:$F$109,$A65,Ledger!$B$5:$B$109,"C-Breeze Heights")</f>
        <v>0</v>
      </c>
      <c r="O65" s="33">
        <f>SUMIFS(Ledger!$C$5:$C$109,Ledger!$F$5:$F$109,$A65,Ledger!$B$5:$B$109,"Tama Estates")</f>
        <v>0</v>
      </c>
      <c r="P65" s="33">
        <f>SUMIFS(Ledger!$C$5:$C$109,Ledger!$F$5:$F$109,$A65,Ledger!$B$5:$B$109,"Duma Tau — Kronlein")</f>
        <v>0</v>
      </c>
      <c r="Q65" s="33">
        <f>SUMIFS(Ledger!$C$5:$C$109,Ledger!$F$5:$F$109,$A65,Ledger!$B$5:$B$109,"LIH Nkurenkuru Ph 1")</f>
        <v>0</v>
      </c>
      <c r="R65" s="33">
        <f>SUMIFS(Ledger!$C$5:$C$109,Ledger!$F$5:$F$109,$A65,Ledger!$B$5:$B$109,"NIC Otjomuise Ext 10 (Erf 5221)")</f>
        <v>0</v>
      </c>
      <c r="S65" s="33">
        <f>SUMIFS(Ledger!$C$5:$C$109,Ledger!$F$5:$F$109,$A65,Ledger!$B$5:$B$109,"Heavens Ark — Otjomuise")</f>
        <v>0</v>
      </c>
    </row>
    <row r="66" spans="1:19" x14ac:dyDescent="0.3">
      <c r="A66" s="32">
        <v>46143</v>
      </c>
      <c r="B66" s="33">
        <f>SUMIFS(Ledger!$D$5:$D$109,Ledger!$F$5:$F$109,$A66)</f>
        <v>-1209348.2</v>
      </c>
      <c r="C66" s="33">
        <f>SUMIFS(Ledger!$E$5:$E$109,Ledger!$F$5:$F$109,$A66)</f>
        <v>0</v>
      </c>
      <c r="D66" s="33">
        <f t="shared" si="1"/>
        <v>-1209348.2</v>
      </c>
      <c r="E66" s="33">
        <f t="shared" si="2"/>
        <v>-1209348.2</v>
      </c>
      <c r="F66" s="33">
        <f>SUMIFS(Ledger!$C$5:$C$109,Ledger!$F$5:$F$109,$A66,Ledger!$B$5:$B$109,"Erf 1470 Khomasdal")</f>
        <v>0</v>
      </c>
      <c r="G66" s="33">
        <f>SUMIFS(Ledger!$C$5:$C$109,Ledger!$F$5:$F$109,$A66,Ledger!$B$5:$B$109,"Dunescape Villas (Erf 5159)")</f>
        <v>0</v>
      </c>
      <c r="H66" s="33">
        <f>SUMIFS(Ledger!$C$5:$C$109,Ledger!$F$5:$F$109,$A66,Ledger!$B$5:$B$109,"PAM Tree (Erf 5758)")</f>
        <v>0</v>
      </c>
      <c r="I66" s="33">
        <f>SUMIFS(Ledger!$C$5:$C$109,Ledger!$F$5:$F$109,$A66,Ledger!$B$5:$B$109,"Turnstone Villas (Erf 8939)")</f>
        <v>0</v>
      </c>
      <c r="J66" s="33">
        <f>SUMIFS(Ledger!$C$5:$C$109,Ledger!$F$5:$F$109,$A66,Ledger!$B$5:$B$109,"Lithon Nkurenkuru Ext 2")</f>
        <v>0</v>
      </c>
      <c r="K66" s="33">
        <f>SUMIFS(Ledger!$C$5:$C$109,Ledger!$F$5:$F$109,$A66,Ledger!$B$5:$B$109,"Mondesa Palms")</f>
        <v>0</v>
      </c>
      <c r="L66" s="33">
        <f>SUMIFS(Ledger!$C$5:$C$109,Ledger!$F$5:$F$109,$A66,Ledger!$B$5:$B$109,"The Ridge — Rocky Crest Ext 4")</f>
        <v>0</v>
      </c>
      <c r="M66" s="33">
        <f>SUMIFS(Ledger!$C$5:$C$109,Ledger!$F$5:$F$109,$A66,Ledger!$B$5:$B$109,"Mango Cove (Otjomuise Ext 10)")</f>
        <v>0</v>
      </c>
      <c r="N66" s="33">
        <f>SUMIFS(Ledger!$C$5:$C$109,Ledger!$F$5:$F$109,$A66,Ledger!$B$5:$B$109,"C-Breeze Heights")</f>
        <v>0</v>
      </c>
      <c r="O66" s="33">
        <f>SUMIFS(Ledger!$C$5:$C$109,Ledger!$F$5:$F$109,$A66,Ledger!$B$5:$B$109,"Tama Estates")</f>
        <v>0</v>
      </c>
      <c r="P66" s="33">
        <f>SUMIFS(Ledger!$C$5:$C$109,Ledger!$F$5:$F$109,$A66,Ledger!$B$5:$B$109,"Duma Tau — Kronlein")</f>
        <v>0</v>
      </c>
      <c r="Q66" s="33">
        <f>SUMIFS(Ledger!$C$5:$C$109,Ledger!$F$5:$F$109,$A66,Ledger!$B$5:$B$109,"LIH Nkurenkuru Ph 1")</f>
        <v>0</v>
      </c>
      <c r="R66" s="33">
        <f>SUMIFS(Ledger!$C$5:$C$109,Ledger!$F$5:$F$109,$A66,Ledger!$B$5:$B$109,"NIC Otjomuise Ext 10 (Erf 5221)")</f>
        <v>0</v>
      </c>
      <c r="S66" s="33">
        <f>SUMIFS(Ledger!$C$5:$C$109,Ledger!$F$5:$F$109,$A66,Ledger!$B$5:$B$109,"Heavens Ark — Otjomuise")</f>
        <v>0</v>
      </c>
    </row>
    <row r="67" spans="1:19" x14ac:dyDescent="0.3">
      <c r="A67" s="34">
        <v>46174</v>
      </c>
      <c r="B67" s="33">
        <f>SUMIFS(Ledger!$D$5:$D$109,Ledger!$F$5:$F$109,$A67)</f>
        <v>-11179762.939999999</v>
      </c>
      <c r="C67" s="33">
        <f>SUMIFS(Ledger!$E$5:$E$109,Ledger!$F$5:$F$109,$A67)</f>
        <v>0</v>
      </c>
      <c r="D67" s="33">
        <f t="shared" si="1"/>
        <v>-11179762.939999999</v>
      </c>
      <c r="E67" s="33">
        <f t="shared" si="2"/>
        <v>-11179762.939999999</v>
      </c>
      <c r="F67" s="33">
        <f>SUMIFS(Ledger!$C$5:$C$109,Ledger!$F$5:$F$109,$A67,Ledger!$B$5:$B$109,"Erf 1470 Khomasdal")</f>
        <v>0</v>
      </c>
      <c r="G67" s="33">
        <f>SUMIFS(Ledger!$C$5:$C$109,Ledger!$F$5:$F$109,$A67,Ledger!$B$5:$B$109,"Dunescape Villas (Erf 5159)")</f>
        <v>0</v>
      </c>
      <c r="H67" s="33">
        <f>SUMIFS(Ledger!$C$5:$C$109,Ledger!$F$5:$F$109,$A67,Ledger!$B$5:$B$109,"PAM Tree (Erf 5758)")</f>
        <v>0</v>
      </c>
      <c r="I67" s="33">
        <f>SUMIFS(Ledger!$C$5:$C$109,Ledger!$F$5:$F$109,$A67,Ledger!$B$5:$B$109,"Turnstone Villas (Erf 8939)")</f>
        <v>0</v>
      </c>
      <c r="J67" s="33">
        <f>SUMIFS(Ledger!$C$5:$C$109,Ledger!$F$5:$F$109,$A67,Ledger!$B$5:$B$109,"Lithon Nkurenkuru Ext 2")</f>
        <v>0</v>
      </c>
      <c r="K67" s="33">
        <f>SUMIFS(Ledger!$C$5:$C$109,Ledger!$F$5:$F$109,$A67,Ledger!$B$5:$B$109,"Mondesa Palms")</f>
        <v>0</v>
      </c>
      <c r="L67" s="33">
        <f>SUMIFS(Ledger!$C$5:$C$109,Ledger!$F$5:$F$109,$A67,Ledger!$B$5:$B$109,"The Ridge — Rocky Crest Ext 4")</f>
        <v>0</v>
      </c>
      <c r="M67" s="33">
        <f>SUMIFS(Ledger!$C$5:$C$109,Ledger!$F$5:$F$109,$A67,Ledger!$B$5:$B$109,"Mango Cove (Otjomuise Ext 10)")</f>
        <v>0</v>
      </c>
      <c r="N67" s="33">
        <f>SUMIFS(Ledger!$C$5:$C$109,Ledger!$F$5:$F$109,$A67,Ledger!$B$5:$B$109,"C-Breeze Heights")</f>
        <v>0</v>
      </c>
      <c r="O67" s="33">
        <f>SUMIFS(Ledger!$C$5:$C$109,Ledger!$F$5:$F$109,$A67,Ledger!$B$5:$B$109,"Tama Estates")</f>
        <v>0</v>
      </c>
      <c r="P67" s="33">
        <f>SUMIFS(Ledger!$C$5:$C$109,Ledger!$F$5:$F$109,$A67,Ledger!$B$5:$B$109,"Duma Tau — Kronlein")</f>
        <v>0</v>
      </c>
      <c r="Q67" s="33">
        <f>SUMIFS(Ledger!$C$5:$C$109,Ledger!$F$5:$F$109,$A67,Ledger!$B$5:$B$109,"LIH Nkurenkuru Ph 1")</f>
        <v>0</v>
      </c>
      <c r="R67" s="33">
        <f>SUMIFS(Ledger!$C$5:$C$109,Ledger!$F$5:$F$109,$A67,Ledger!$B$5:$B$109,"NIC Otjomuise Ext 10 (Erf 5221)")</f>
        <v>0</v>
      </c>
      <c r="S67" s="33">
        <f>SUMIFS(Ledger!$C$5:$C$109,Ledger!$F$5:$F$109,$A67,Ledger!$B$5:$B$109,"Heavens Ark — Otjomuise")</f>
        <v>0</v>
      </c>
    </row>
    <row r="68" spans="1:19" x14ac:dyDescent="0.3">
      <c r="A68" s="32">
        <v>46204</v>
      </c>
      <c r="B68" s="33">
        <f>SUMIFS(Ledger!$D$5:$D$109,Ledger!$F$5:$F$109,$A68)</f>
        <v>-11616720.460000001</v>
      </c>
      <c r="C68" s="33">
        <f>SUMIFS(Ledger!$E$5:$E$109,Ledger!$F$5:$F$109,$A68)</f>
        <v>0</v>
      </c>
      <c r="D68" s="33">
        <f t="shared" si="1"/>
        <v>-11616720.460000001</v>
      </c>
      <c r="E68" s="33">
        <f t="shared" si="2"/>
        <v>-11616720.460000001</v>
      </c>
      <c r="F68" s="33">
        <f>SUMIFS(Ledger!$C$5:$C$109,Ledger!$F$5:$F$109,$A68,Ledger!$B$5:$B$109,"Erf 1470 Khomasdal")</f>
        <v>0</v>
      </c>
      <c r="G68" s="33">
        <f>SUMIFS(Ledger!$C$5:$C$109,Ledger!$F$5:$F$109,$A68,Ledger!$B$5:$B$109,"Dunescape Villas (Erf 5159)")</f>
        <v>0</v>
      </c>
      <c r="H68" s="33">
        <f>SUMIFS(Ledger!$C$5:$C$109,Ledger!$F$5:$F$109,$A68,Ledger!$B$5:$B$109,"PAM Tree (Erf 5758)")</f>
        <v>0</v>
      </c>
      <c r="I68" s="33">
        <f>SUMIFS(Ledger!$C$5:$C$109,Ledger!$F$5:$F$109,$A68,Ledger!$B$5:$B$109,"Turnstone Villas (Erf 8939)")</f>
        <v>0</v>
      </c>
      <c r="J68" s="33">
        <f>SUMIFS(Ledger!$C$5:$C$109,Ledger!$F$5:$F$109,$A68,Ledger!$B$5:$B$109,"Lithon Nkurenkuru Ext 2")</f>
        <v>0</v>
      </c>
      <c r="K68" s="33">
        <f>SUMIFS(Ledger!$C$5:$C$109,Ledger!$F$5:$F$109,$A68,Ledger!$B$5:$B$109,"Mondesa Palms")</f>
        <v>0</v>
      </c>
      <c r="L68" s="33">
        <f>SUMIFS(Ledger!$C$5:$C$109,Ledger!$F$5:$F$109,$A68,Ledger!$B$5:$B$109,"The Ridge — Rocky Crest Ext 4")</f>
        <v>0</v>
      </c>
      <c r="M68" s="33">
        <f>SUMIFS(Ledger!$C$5:$C$109,Ledger!$F$5:$F$109,$A68,Ledger!$B$5:$B$109,"Mango Cove (Otjomuise Ext 10)")</f>
        <v>0</v>
      </c>
      <c r="N68" s="33">
        <f>SUMIFS(Ledger!$C$5:$C$109,Ledger!$F$5:$F$109,$A68,Ledger!$B$5:$B$109,"C-Breeze Heights")</f>
        <v>0</v>
      </c>
      <c r="O68" s="33">
        <f>SUMIFS(Ledger!$C$5:$C$109,Ledger!$F$5:$F$109,$A68,Ledger!$B$5:$B$109,"Tama Estates")</f>
        <v>0</v>
      </c>
      <c r="P68" s="33">
        <f>SUMIFS(Ledger!$C$5:$C$109,Ledger!$F$5:$F$109,$A68,Ledger!$B$5:$B$109,"Duma Tau — Kronlein")</f>
        <v>0</v>
      </c>
      <c r="Q68" s="33">
        <f>SUMIFS(Ledger!$C$5:$C$109,Ledger!$F$5:$F$109,$A68,Ledger!$B$5:$B$109,"LIH Nkurenkuru Ph 1")</f>
        <v>0</v>
      </c>
      <c r="R68" s="33">
        <f>SUMIFS(Ledger!$C$5:$C$109,Ledger!$F$5:$F$109,$A68,Ledger!$B$5:$B$109,"NIC Otjomuise Ext 10 (Erf 5221)")</f>
        <v>0</v>
      </c>
      <c r="S68" s="33">
        <f>SUMIFS(Ledger!$C$5:$C$109,Ledger!$F$5:$F$109,$A68,Ledger!$B$5:$B$109,"Heavens Ark — Otjomuise")</f>
        <v>0</v>
      </c>
    </row>
    <row r="69" spans="1:19" x14ac:dyDescent="0.3">
      <c r="A69" s="74">
        <v>46235</v>
      </c>
      <c r="B69" s="33">
        <f>SUMIFS(Ledger!$D$5:$D$109,Ledger!$F$5:$F$109,$A69)</f>
        <v>-7000000</v>
      </c>
      <c r="C69" s="33">
        <f>SUMIFS(Ledger!$E$5:$E$109,Ledger!$F$5:$F$109,$A69)</f>
        <v>0</v>
      </c>
      <c r="D69" s="33">
        <f t="shared" ref="D69" si="4">B69+C69</f>
        <v>-7000000</v>
      </c>
      <c r="E69" s="33">
        <f t="shared" si="2"/>
        <v>-7000000</v>
      </c>
      <c r="F69" s="33">
        <f>SUMIFS(Ledger!$C$5:$C$109,Ledger!$F$5:$F$109,$A69,Ledger!$B$5:$B$109,"Erf 1470 Khomasdal")</f>
        <v>0</v>
      </c>
      <c r="G69" s="33">
        <f>SUMIFS(Ledger!$C$5:$C$109,Ledger!$F$5:$F$109,$A69,Ledger!$B$5:$B$109,"Dunescape Villas (Erf 5159)")</f>
        <v>0</v>
      </c>
      <c r="H69" s="33">
        <f>SUMIFS(Ledger!$C$5:$C$109,Ledger!$F$5:$F$109,$A69,Ledger!$B$5:$B$109,"PAM Tree (Erf 5758)")</f>
        <v>0</v>
      </c>
      <c r="I69" s="33">
        <f>SUMIFS(Ledger!$C$5:$C$109,Ledger!$F$5:$F$109,$A69,Ledger!$B$5:$B$109,"Turnstone Villas (Erf 8939)")</f>
        <v>0</v>
      </c>
      <c r="J69" s="33">
        <f>SUMIFS(Ledger!$C$5:$C$109,Ledger!$F$5:$F$109,$A69,Ledger!$B$5:$B$109,"Lithon Nkurenkuru Ext 2")</f>
        <v>0</v>
      </c>
      <c r="K69" s="33">
        <f>SUMIFS(Ledger!$C$5:$C$109,Ledger!$F$5:$F$109,$A69,Ledger!$B$5:$B$109,"Mondesa Palms")</f>
        <v>0</v>
      </c>
      <c r="L69" s="33">
        <f>SUMIFS(Ledger!$C$5:$C$109,Ledger!$F$5:$F$109,$A69,Ledger!$B$5:$B$109,"The Ridge — Rocky Crest Ext 4")</f>
        <v>0</v>
      </c>
      <c r="M69" s="33">
        <f>SUMIFS(Ledger!$C$5:$C$109,Ledger!$F$5:$F$109,$A69,Ledger!$B$5:$B$109,"Mango Cove (Otjomuise Ext 10)")</f>
        <v>0</v>
      </c>
      <c r="N69" s="33">
        <f>SUMIFS(Ledger!$C$5:$C$109,Ledger!$F$5:$F$109,$A69,Ledger!$B$5:$B$109,"C-Breeze Heights")</f>
        <v>0</v>
      </c>
      <c r="O69" s="33">
        <f>SUMIFS(Ledger!$C$5:$C$109,Ledger!$F$5:$F$109,$A69,Ledger!$B$5:$B$109,"Tama Estates")</f>
        <v>0</v>
      </c>
      <c r="P69" s="33">
        <f>SUMIFS(Ledger!$C$5:$C$109,Ledger!$F$5:$F$109,$A69,Ledger!$B$5:$B$109,"Duma Tau — Kronlein")</f>
        <v>0</v>
      </c>
      <c r="Q69" s="33">
        <f>SUMIFS(Ledger!$C$5:$C$109,Ledger!$F$5:$F$109,$A69,Ledger!$B$5:$B$109,"LIH Nkurenkuru Ph 1")</f>
        <v>0</v>
      </c>
      <c r="R69" s="33">
        <f>SUMIFS(Ledger!$C$5:$C$109,Ledger!$F$5:$F$109,$A69,Ledger!$B$5:$B$109,"NIC Otjomuise Ext 10 (Erf 5221)")</f>
        <v>0</v>
      </c>
      <c r="S69" s="33">
        <f>SUMIFS(Ledger!$C$5:$C$109,Ledger!$F$5:$F$109,$A69,Ledger!$B$5:$B$109,"Heavens Ark — Otjomuise")</f>
        <v>0</v>
      </c>
    </row>
    <row r="70" spans="1:19" x14ac:dyDescent="0.3">
      <c r="A70" s="19" t="s">
        <v>161</v>
      </c>
      <c r="B70" s="21">
        <f>SUM(B5:B69)</f>
        <v>-371004230.87999994</v>
      </c>
      <c r="C70" s="21">
        <f>SUM(C5:C69)</f>
        <v>207800002.08999997</v>
      </c>
      <c r="D70" s="21">
        <f>SUM(D5:D69)</f>
        <v>-163204228.78999999</v>
      </c>
      <c r="E70" s="21">
        <f>E69</f>
        <v>-7000000</v>
      </c>
      <c r="F70" s="21">
        <f t="shared" ref="F70:S70" si="5">SUM(F5:F69)</f>
        <v>0</v>
      </c>
      <c r="G70" s="21">
        <f t="shared" si="5"/>
        <v>0</v>
      </c>
      <c r="H70" s="21">
        <f t="shared" si="5"/>
        <v>0</v>
      </c>
      <c r="I70" s="21">
        <f t="shared" si="5"/>
        <v>0</v>
      </c>
      <c r="J70" s="21">
        <f t="shared" si="5"/>
        <v>0</v>
      </c>
      <c r="K70" s="21">
        <f t="shared" si="5"/>
        <v>0</v>
      </c>
      <c r="L70" s="21">
        <f t="shared" si="5"/>
        <v>0</v>
      </c>
      <c r="M70" s="21">
        <f t="shared" si="5"/>
        <v>0</v>
      </c>
      <c r="N70" s="21">
        <f t="shared" si="5"/>
        <v>0</v>
      </c>
      <c r="O70" s="21">
        <f t="shared" si="5"/>
        <v>0</v>
      </c>
      <c r="P70" s="21">
        <f t="shared" si="5"/>
        <v>6397868.6600000001</v>
      </c>
      <c r="Q70" s="21">
        <f t="shared" si="5"/>
        <v>0</v>
      </c>
      <c r="R70" s="21">
        <f t="shared" si="5"/>
        <v>0</v>
      </c>
      <c r="S70" s="21">
        <f t="shared" si="5"/>
        <v>0</v>
      </c>
    </row>
    <row r="72" spans="1:19" x14ac:dyDescent="0.3">
      <c r="A72" s="7" t="s">
        <v>248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9"/>
  <sheetViews>
    <sheetView zoomScaleNormal="100" workbookViewId="0">
      <pane ySplit="4" topLeftCell="A11" activePane="bottomLeft" state="frozen"/>
      <selection pane="bottomLeft" activeCell="B6" sqref="B6"/>
    </sheetView>
  </sheetViews>
  <sheetFormatPr defaultColWidth="8.6640625" defaultRowHeight="14.4" x14ac:dyDescent="0.3"/>
  <cols>
    <col min="1" max="1" width="25.44140625" customWidth="1"/>
    <col min="2" max="2" width="37.5546875" customWidth="1"/>
    <col min="3" max="3" width="23" customWidth="1"/>
    <col min="4" max="4" width="17.6640625" customWidth="1"/>
    <col min="5" max="5" width="19" customWidth="1"/>
    <col min="6" max="6" width="13.109375" customWidth="1"/>
    <col min="7" max="7" width="58" customWidth="1"/>
  </cols>
  <sheetData>
    <row r="1" spans="1:7" ht="17.399999999999999" x14ac:dyDescent="0.3">
      <c r="A1" s="1" t="s">
        <v>162</v>
      </c>
    </row>
    <row r="2" spans="1:7" x14ac:dyDescent="0.3">
      <c r="A2" s="2" t="s">
        <v>163</v>
      </c>
    </row>
    <row r="4" spans="1:7" x14ac:dyDescent="0.3">
      <c r="A4" s="35" t="s">
        <v>164</v>
      </c>
      <c r="B4" s="35" t="s">
        <v>59</v>
      </c>
      <c r="C4" s="35" t="s">
        <v>165</v>
      </c>
      <c r="D4" s="35" t="s">
        <v>166</v>
      </c>
      <c r="E4" s="35" t="s">
        <v>167</v>
      </c>
      <c r="F4" s="35" t="s">
        <v>168</v>
      </c>
      <c r="G4" s="35" t="s">
        <v>169</v>
      </c>
    </row>
    <row r="5" spans="1:7" x14ac:dyDescent="0.3">
      <c r="A5" s="36">
        <v>43067</v>
      </c>
      <c r="B5" s="5" t="s">
        <v>350</v>
      </c>
      <c r="C5" s="38">
        <v>-45500000</v>
      </c>
      <c r="D5" s="39">
        <f t="shared" ref="D5:D36" si="0">IF(C5&lt;0,C5,0)</f>
        <v>-45500000</v>
      </c>
      <c r="E5" s="39">
        <f t="shared" ref="E5:E36" si="1">IF(C5&gt;0,C5,0)</f>
        <v>0</v>
      </c>
      <c r="F5" s="34">
        <f t="shared" ref="F5:F36" si="2">DATE(YEAR(A5),MONTH(A5),1)</f>
        <v>43040</v>
      </c>
      <c r="G5" s="7" t="s">
        <v>247</v>
      </c>
    </row>
    <row r="6" spans="1:7" x14ac:dyDescent="0.3">
      <c r="A6" s="36">
        <v>43067</v>
      </c>
      <c r="B6" s="37" t="s">
        <v>359</v>
      </c>
      <c r="C6" s="38">
        <v>-2200000</v>
      </c>
      <c r="D6" s="39">
        <f t="shared" si="0"/>
        <v>-2200000</v>
      </c>
      <c r="E6" s="39">
        <f t="shared" si="1"/>
        <v>0</v>
      </c>
      <c r="F6" s="34">
        <f t="shared" si="2"/>
        <v>43040</v>
      </c>
      <c r="G6" s="7" t="s">
        <v>247</v>
      </c>
    </row>
    <row r="7" spans="1:7" x14ac:dyDescent="0.3">
      <c r="A7" s="36">
        <v>43168</v>
      </c>
      <c r="B7" s="37" t="s">
        <v>94</v>
      </c>
      <c r="C7" s="38">
        <v>-22000000</v>
      </c>
      <c r="D7" s="39">
        <f t="shared" si="0"/>
        <v>-22000000</v>
      </c>
      <c r="E7" s="39">
        <f t="shared" si="1"/>
        <v>0</v>
      </c>
      <c r="F7" s="34">
        <f t="shared" si="2"/>
        <v>43160</v>
      </c>
      <c r="G7" s="7" t="s">
        <v>247</v>
      </c>
    </row>
    <row r="8" spans="1:7" x14ac:dyDescent="0.3">
      <c r="A8" s="36">
        <v>43216</v>
      </c>
      <c r="B8" s="37" t="s">
        <v>361</v>
      </c>
      <c r="C8" s="38">
        <v>-10000000</v>
      </c>
      <c r="D8" s="39">
        <f t="shared" si="0"/>
        <v>-10000000</v>
      </c>
      <c r="E8" s="39">
        <f t="shared" si="1"/>
        <v>0</v>
      </c>
      <c r="F8" s="34">
        <f t="shared" si="2"/>
        <v>43191</v>
      </c>
      <c r="G8" s="7" t="s">
        <v>247</v>
      </c>
    </row>
    <row r="9" spans="1:7" x14ac:dyDescent="0.3">
      <c r="A9" s="36">
        <v>43280</v>
      </c>
      <c r="B9" s="37" t="s">
        <v>359</v>
      </c>
      <c r="C9" s="38">
        <v>-700000</v>
      </c>
      <c r="D9" s="39">
        <f t="shared" si="0"/>
        <v>-700000</v>
      </c>
      <c r="E9" s="39">
        <f t="shared" si="1"/>
        <v>0</v>
      </c>
      <c r="F9" s="34">
        <f t="shared" si="2"/>
        <v>43252</v>
      </c>
      <c r="G9" s="7" t="s">
        <v>247</v>
      </c>
    </row>
    <row r="10" spans="1:7" x14ac:dyDescent="0.3">
      <c r="A10" s="36">
        <v>43304</v>
      </c>
      <c r="B10" s="37" t="s">
        <v>359</v>
      </c>
      <c r="C10" s="38">
        <v>-4300000</v>
      </c>
      <c r="D10" s="39">
        <f t="shared" si="0"/>
        <v>-4300000</v>
      </c>
      <c r="E10" s="39">
        <f t="shared" si="1"/>
        <v>0</v>
      </c>
      <c r="F10" s="34">
        <f t="shared" si="2"/>
        <v>43282</v>
      </c>
      <c r="G10" s="7" t="s">
        <v>247</v>
      </c>
    </row>
    <row r="11" spans="1:7" x14ac:dyDescent="0.3">
      <c r="A11" s="36">
        <v>43322</v>
      </c>
      <c r="B11" s="37" t="s">
        <v>94</v>
      </c>
      <c r="C11" s="38">
        <v>-6000000</v>
      </c>
      <c r="D11" s="39">
        <f t="shared" si="0"/>
        <v>-6000000</v>
      </c>
      <c r="E11" s="39">
        <f t="shared" si="1"/>
        <v>0</v>
      </c>
      <c r="F11" s="34">
        <f t="shared" si="2"/>
        <v>43313</v>
      </c>
      <c r="G11" s="7" t="s">
        <v>247</v>
      </c>
    </row>
    <row r="12" spans="1:7" x14ac:dyDescent="0.3">
      <c r="A12" s="36">
        <v>43322</v>
      </c>
      <c r="B12" s="37" t="s">
        <v>359</v>
      </c>
      <c r="C12" s="38">
        <v>-5000000</v>
      </c>
      <c r="D12" s="39">
        <f t="shared" si="0"/>
        <v>-5000000</v>
      </c>
      <c r="E12" s="39">
        <f t="shared" si="1"/>
        <v>0</v>
      </c>
      <c r="F12" s="34">
        <f t="shared" si="2"/>
        <v>43313</v>
      </c>
      <c r="G12" s="7" t="s">
        <v>247</v>
      </c>
    </row>
    <row r="13" spans="1:7" x14ac:dyDescent="0.3">
      <c r="A13" s="36">
        <v>43356</v>
      </c>
      <c r="B13" s="37" t="s">
        <v>94</v>
      </c>
      <c r="C13" s="38">
        <v>1302000</v>
      </c>
      <c r="D13" s="39">
        <f t="shared" si="0"/>
        <v>0</v>
      </c>
      <c r="E13" s="39">
        <f t="shared" si="1"/>
        <v>1302000</v>
      </c>
      <c r="F13" s="34">
        <f t="shared" si="2"/>
        <v>43344</v>
      </c>
      <c r="G13" s="7" t="s">
        <v>247</v>
      </c>
    </row>
    <row r="14" spans="1:7" x14ac:dyDescent="0.3">
      <c r="A14" s="36">
        <v>43362</v>
      </c>
      <c r="B14" s="37" t="s">
        <v>350</v>
      </c>
      <c r="C14" s="38">
        <v>-1500000</v>
      </c>
      <c r="D14" s="39">
        <f t="shared" si="0"/>
        <v>-1500000</v>
      </c>
      <c r="E14" s="39">
        <f t="shared" si="1"/>
        <v>0</v>
      </c>
      <c r="F14" s="34">
        <f t="shared" si="2"/>
        <v>43344</v>
      </c>
      <c r="G14" s="7" t="s">
        <v>247</v>
      </c>
    </row>
    <row r="15" spans="1:7" x14ac:dyDescent="0.3">
      <c r="A15" s="36">
        <v>43362</v>
      </c>
      <c r="B15" s="37" t="s">
        <v>361</v>
      </c>
      <c r="C15" s="38">
        <v>-1000000</v>
      </c>
      <c r="D15" s="39">
        <f t="shared" si="0"/>
        <v>-1000000</v>
      </c>
      <c r="E15" s="39">
        <f t="shared" si="1"/>
        <v>0</v>
      </c>
      <c r="F15" s="34">
        <f t="shared" si="2"/>
        <v>43344</v>
      </c>
      <c r="G15" s="7" t="s">
        <v>247</v>
      </c>
    </row>
    <row r="16" spans="1:7" x14ac:dyDescent="0.3">
      <c r="A16" s="36">
        <v>43384</v>
      </c>
      <c r="B16" s="37" t="s">
        <v>361</v>
      </c>
      <c r="C16" s="38">
        <v>-10000000</v>
      </c>
      <c r="D16" s="39">
        <f t="shared" si="0"/>
        <v>-10000000</v>
      </c>
      <c r="E16" s="39">
        <f t="shared" si="1"/>
        <v>0</v>
      </c>
      <c r="F16" s="34">
        <f t="shared" si="2"/>
        <v>43374</v>
      </c>
      <c r="G16" s="7" t="s">
        <v>247</v>
      </c>
    </row>
    <row r="17" spans="1:7" x14ac:dyDescent="0.3">
      <c r="A17" s="36">
        <v>43426</v>
      </c>
      <c r="B17" s="37" t="s">
        <v>361</v>
      </c>
      <c r="C17" s="38">
        <v>-9400000</v>
      </c>
      <c r="D17" s="39">
        <f t="shared" si="0"/>
        <v>-9400000</v>
      </c>
      <c r="E17" s="39">
        <f t="shared" si="1"/>
        <v>0</v>
      </c>
      <c r="F17" s="34">
        <f t="shared" si="2"/>
        <v>43405</v>
      </c>
      <c r="G17" s="7" t="s">
        <v>247</v>
      </c>
    </row>
    <row r="18" spans="1:7" x14ac:dyDescent="0.3">
      <c r="A18" s="36">
        <v>43433</v>
      </c>
      <c r="B18" s="37" t="s">
        <v>359</v>
      </c>
      <c r="C18" s="38">
        <v>-2200000</v>
      </c>
      <c r="D18" s="39">
        <f t="shared" si="0"/>
        <v>-2200000</v>
      </c>
      <c r="E18" s="39">
        <f t="shared" si="1"/>
        <v>0</v>
      </c>
      <c r="F18" s="34">
        <f t="shared" si="2"/>
        <v>43405</v>
      </c>
      <c r="G18" s="7" t="s">
        <v>247</v>
      </c>
    </row>
    <row r="19" spans="1:7" x14ac:dyDescent="0.3">
      <c r="A19" s="36">
        <v>43448</v>
      </c>
      <c r="B19" s="37" t="s">
        <v>94</v>
      </c>
      <c r="C19" s="38">
        <v>10443745</v>
      </c>
      <c r="D19" s="39">
        <f t="shared" si="0"/>
        <v>0</v>
      </c>
      <c r="E19" s="39">
        <f t="shared" si="1"/>
        <v>10443745</v>
      </c>
      <c r="F19" s="34">
        <f t="shared" si="2"/>
        <v>43435</v>
      </c>
      <c r="G19" s="7" t="s">
        <v>247</v>
      </c>
    </row>
    <row r="20" spans="1:7" x14ac:dyDescent="0.3">
      <c r="A20" s="36">
        <v>43476</v>
      </c>
      <c r="B20" s="37" t="s">
        <v>94</v>
      </c>
      <c r="C20" s="38">
        <v>4425225</v>
      </c>
      <c r="D20" s="39">
        <f t="shared" si="0"/>
        <v>0</v>
      </c>
      <c r="E20" s="39">
        <f t="shared" si="1"/>
        <v>4425225</v>
      </c>
      <c r="F20" s="34">
        <f t="shared" si="2"/>
        <v>43466</v>
      </c>
      <c r="G20" s="7" t="s">
        <v>247</v>
      </c>
    </row>
    <row r="21" spans="1:7" x14ac:dyDescent="0.3">
      <c r="A21" s="36">
        <v>43486</v>
      </c>
      <c r="B21" s="37" t="s">
        <v>350</v>
      </c>
      <c r="C21" s="38">
        <v>-2850000</v>
      </c>
      <c r="D21" s="39">
        <f t="shared" si="0"/>
        <v>-2850000</v>
      </c>
      <c r="E21" s="39">
        <f t="shared" si="1"/>
        <v>0</v>
      </c>
      <c r="F21" s="34">
        <f t="shared" si="2"/>
        <v>43466</v>
      </c>
      <c r="G21" s="7" t="s">
        <v>247</v>
      </c>
    </row>
    <row r="22" spans="1:7" x14ac:dyDescent="0.3">
      <c r="A22" s="36">
        <v>43486</v>
      </c>
      <c r="B22" s="37" t="s">
        <v>361</v>
      </c>
      <c r="C22" s="38">
        <v>-5000000</v>
      </c>
      <c r="D22" s="39">
        <f t="shared" si="0"/>
        <v>-5000000</v>
      </c>
      <c r="E22" s="39">
        <f t="shared" si="1"/>
        <v>0</v>
      </c>
      <c r="F22" s="34">
        <f t="shared" si="2"/>
        <v>43466</v>
      </c>
      <c r="G22" s="7" t="s">
        <v>247</v>
      </c>
    </row>
    <row r="23" spans="1:7" x14ac:dyDescent="0.3">
      <c r="A23" s="36">
        <v>43494</v>
      </c>
      <c r="B23" s="37" t="s">
        <v>361</v>
      </c>
      <c r="C23" s="38">
        <v>-4600000</v>
      </c>
      <c r="D23" s="39">
        <f t="shared" si="0"/>
        <v>-4600000</v>
      </c>
      <c r="E23" s="39">
        <f t="shared" si="1"/>
        <v>0</v>
      </c>
      <c r="F23" s="34">
        <f t="shared" si="2"/>
        <v>43466</v>
      </c>
      <c r="G23" s="7" t="s">
        <v>247</v>
      </c>
    </row>
    <row r="24" spans="1:7" x14ac:dyDescent="0.3">
      <c r="A24" s="36">
        <v>43503</v>
      </c>
      <c r="B24" s="37" t="s">
        <v>361</v>
      </c>
      <c r="C24" s="38">
        <v>-10400000</v>
      </c>
      <c r="D24" s="39">
        <f t="shared" si="0"/>
        <v>-10400000</v>
      </c>
      <c r="E24" s="39">
        <f t="shared" si="1"/>
        <v>0</v>
      </c>
      <c r="F24" s="34">
        <f t="shared" si="2"/>
        <v>43497</v>
      </c>
      <c r="G24" s="7" t="s">
        <v>247</v>
      </c>
    </row>
    <row r="25" spans="1:7" x14ac:dyDescent="0.3">
      <c r="A25" s="36">
        <v>43524</v>
      </c>
      <c r="B25" s="37" t="s">
        <v>94</v>
      </c>
      <c r="C25" s="38">
        <v>3242310</v>
      </c>
      <c r="D25" s="39">
        <f t="shared" si="0"/>
        <v>0</v>
      </c>
      <c r="E25" s="39">
        <f t="shared" si="1"/>
        <v>3242310</v>
      </c>
      <c r="F25" s="34">
        <f t="shared" si="2"/>
        <v>43497</v>
      </c>
      <c r="G25" s="7" t="s">
        <v>247</v>
      </c>
    </row>
    <row r="26" spans="1:7" x14ac:dyDescent="0.3">
      <c r="A26" s="36">
        <v>43530</v>
      </c>
      <c r="B26" s="37" t="s">
        <v>359</v>
      </c>
      <c r="C26" s="38">
        <v>-1745000</v>
      </c>
      <c r="D26" s="39">
        <f t="shared" si="0"/>
        <v>-1745000</v>
      </c>
      <c r="E26" s="39">
        <f t="shared" si="1"/>
        <v>0</v>
      </c>
      <c r="F26" s="34">
        <f t="shared" si="2"/>
        <v>43525</v>
      </c>
      <c r="G26" s="7" t="s">
        <v>247</v>
      </c>
    </row>
    <row r="27" spans="1:7" x14ac:dyDescent="0.3">
      <c r="A27" s="36">
        <v>43531</v>
      </c>
      <c r="B27" s="37" t="s">
        <v>361</v>
      </c>
      <c r="C27" s="38">
        <v>-4600000</v>
      </c>
      <c r="D27" s="39">
        <f t="shared" si="0"/>
        <v>-4600000</v>
      </c>
      <c r="E27" s="39">
        <f t="shared" si="1"/>
        <v>0</v>
      </c>
      <c r="F27" s="34">
        <f t="shared" si="2"/>
        <v>43525</v>
      </c>
      <c r="G27" s="7" t="s">
        <v>247</v>
      </c>
    </row>
    <row r="28" spans="1:7" x14ac:dyDescent="0.3">
      <c r="A28" s="36">
        <v>43543</v>
      </c>
      <c r="B28" s="37" t="s">
        <v>361</v>
      </c>
      <c r="C28" s="38">
        <v>-6000000</v>
      </c>
      <c r="D28" s="39">
        <f t="shared" si="0"/>
        <v>-6000000</v>
      </c>
      <c r="E28" s="39">
        <f t="shared" si="1"/>
        <v>0</v>
      </c>
      <c r="F28" s="34">
        <f t="shared" si="2"/>
        <v>43525</v>
      </c>
      <c r="G28" s="7" t="s">
        <v>247</v>
      </c>
    </row>
    <row r="29" spans="1:7" x14ac:dyDescent="0.3">
      <c r="A29" s="36">
        <v>43552</v>
      </c>
      <c r="B29" s="37" t="s">
        <v>359</v>
      </c>
      <c r="C29" s="38">
        <v>-1855000</v>
      </c>
      <c r="D29" s="39">
        <f t="shared" si="0"/>
        <v>-1855000</v>
      </c>
      <c r="E29" s="39">
        <f t="shared" si="1"/>
        <v>0</v>
      </c>
      <c r="F29" s="34">
        <f t="shared" si="2"/>
        <v>43525</v>
      </c>
      <c r="G29" s="7" t="s">
        <v>247</v>
      </c>
    </row>
    <row r="30" spans="1:7" x14ac:dyDescent="0.3">
      <c r="A30" s="36">
        <v>43553</v>
      </c>
      <c r="B30" s="37" t="s">
        <v>94</v>
      </c>
      <c r="C30" s="38">
        <v>4087330</v>
      </c>
      <c r="D30" s="39">
        <f t="shared" si="0"/>
        <v>0</v>
      </c>
      <c r="E30" s="39">
        <f t="shared" si="1"/>
        <v>4087330</v>
      </c>
      <c r="F30" s="34">
        <f t="shared" si="2"/>
        <v>43525</v>
      </c>
      <c r="G30" s="7" t="s">
        <v>247</v>
      </c>
    </row>
    <row r="31" spans="1:7" x14ac:dyDescent="0.3">
      <c r="A31" s="36">
        <v>43585</v>
      </c>
      <c r="B31" s="37" t="s">
        <v>94</v>
      </c>
      <c r="C31" s="38">
        <v>1923105</v>
      </c>
      <c r="D31" s="39">
        <f t="shared" si="0"/>
        <v>0</v>
      </c>
      <c r="E31" s="39">
        <f t="shared" si="1"/>
        <v>1923105</v>
      </c>
      <c r="F31" s="34">
        <f t="shared" si="2"/>
        <v>43556</v>
      </c>
      <c r="G31" s="7" t="s">
        <v>247</v>
      </c>
    </row>
    <row r="32" spans="1:7" x14ac:dyDescent="0.3">
      <c r="A32" s="36">
        <v>43598</v>
      </c>
      <c r="B32" s="37" t="s">
        <v>94</v>
      </c>
      <c r="C32" s="38">
        <v>679120</v>
      </c>
      <c r="D32" s="39">
        <f t="shared" si="0"/>
        <v>0</v>
      </c>
      <c r="E32" s="39">
        <f t="shared" si="1"/>
        <v>679120</v>
      </c>
      <c r="F32" s="34">
        <f t="shared" si="2"/>
        <v>43586</v>
      </c>
      <c r="G32" s="7" t="s">
        <v>247</v>
      </c>
    </row>
    <row r="33" spans="1:7" x14ac:dyDescent="0.3">
      <c r="A33" s="36">
        <v>43598</v>
      </c>
      <c r="B33" s="37" t="s">
        <v>361</v>
      </c>
      <c r="C33" s="38">
        <v>-4000000</v>
      </c>
      <c r="D33" s="39">
        <f t="shared" si="0"/>
        <v>-4000000</v>
      </c>
      <c r="E33" s="39">
        <f t="shared" si="1"/>
        <v>0</v>
      </c>
      <c r="F33" s="34">
        <f t="shared" si="2"/>
        <v>43586</v>
      </c>
      <c r="G33" s="7" t="s">
        <v>247</v>
      </c>
    </row>
    <row r="34" spans="1:7" x14ac:dyDescent="0.3">
      <c r="A34" s="36">
        <v>43598</v>
      </c>
      <c r="B34" s="37" t="s">
        <v>359</v>
      </c>
      <c r="C34" s="38">
        <v>998970.04</v>
      </c>
      <c r="D34" s="39">
        <f t="shared" si="0"/>
        <v>0</v>
      </c>
      <c r="E34" s="39">
        <f t="shared" si="1"/>
        <v>998970.04</v>
      </c>
      <c r="F34" s="34">
        <f t="shared" si="2"/>
        <v>43586</v>
      </c>
      <c r="G34" s="7" t="s">
        <v>247</v>
      </c>
    </row>
    <row r="35" spans="1:7" x14ac:dyDescent="0.3">
      <c r="A35" s="36">
        <v>43643</v>
      </c>
      <c r="B35" s="37" t="s">
        <v>94</v>
      </c>
      <c r="C35" s="38">
        <v>2368545</v>
      </c>
      <c r="D35" s="39">
        <f t="shared" si="0"/>
        <v>0</v>
      </c>
      <c r="E35" s="39">
        <f t="shared" si="1"/>
        <v>2368545</v>
      </c>
      <c r="F35" s="34">
        <f t="shared" si="2"/>
        <v>43617</v>
      </c>
      <c r="G35" s="7" t="s">
        <v>247</v>
      </c>
    </row>
    <row r="36" spans="1:7" x14ac:dyDescent="0.3">
      <c r="A36" s="36">
        <v>43643</v>
      </c>
      <c r="B36" s="37" t="s">
        <v>94</v>
      </c>
      <c r="C36" s="38">
        <v>-3191939.24</v>
      </c>
      <c r="D36" s="39">
        <f t="shared" si="0"/>
        <v>-3191939.24</v>
      </c>
      <c r="E36" s="39">
        <f t="shared" si="1"/>
        <v>0</v>
      </c>
      <c r="F36" s="34">
        <f t="shared" si="2"/>
        <v>43617</v>
      </c>
      <c r="G36" s="7" t="s">
        <v>247</v>
      </c>
    </row>
    <row r="37" spans="1:7" x14ac:dyDescent="0.3">
      <c r="A37" s="36">
        <v>43643</v>
      </c>
      <c r="B37" s="64" t="s">
        <v>359</v>
      </c>
      <c r="C37" s="38">
        <v>-1076405.04</v>
      </c>
      <c r="D37" s="39">
        <f t="shared" ref="D37:D68" si="3">IF(C37&lt;0,C37,0)</f>
        <v>-1076405.04</v>
      </c>
      <c r="E37" s="39">
        <f t="shared" ref="E37:E68" si="4">IF(C37&gt;0,C37,0)</f>
        <v>0</v>
      </c>
      <c r="F37" s="34">
        <f t="shared" ref="F37:F68" si="5">DATE(YEAR(A37),MONTH(A37),1)</f>
        <v>43617</v>
      </c>
      <c r="G37" s="70" t="s">
        <v>247</v>
      </c>
    </row>
    <row r="38" spans="1:7" x14ac:dyDescent="0.3">
      <c r="A38" s="36">
        <v>43643</v>
      </c>
      <c r="B38" s="37" t="s">
        <v>359</v>
      </c>
      <c r="C38" s="38">
        <v>3048706.28</v>
      </c>
      <c r="D38" s="39">
        <f t="shared" si="3"/>
        <v>0</v>
      </c>
      <c r="E38" s="39">
        <f t="shared" si="4"/>
        <v>3048706.28</v>
      </c>
      <c r="F38" s="34">
        <f t="shared" si="5"/>
        <v>43617</v>
      </c>
      <c r="G38" s="7" t="s">
        <v>247</v>
      </c>
    </row>
    <row r="39" spans="1:7" x14ac:dyDescent="0.3">
      <c r="A39" s="36">
        <v>43677</v>
      </c>
      <c r="B39" s="37" t="s">
        <v>94</v>
      </c>
      <c r="C39" s="38">
        <v>-2000000</v>
      </c>
      <c r="D39" s="39">
        <f t="shared" si="3"/>
        <v>-2000000</v>
      </c>
      <c r="E39" s="39">
        <f t="shared" si="4"/>
        <v>0</v>
      </c>
      <c r="F39" s="34">
        <f t="shared" si="5"/>
        <v>43647</v>
      </c>
      <c r="G39" s="7" t="s">
        <v>247</v>
      </c>
    </row>
    <row r="40" spans="1:7" x14ac:dyDescent="0.3">
      <c r="A40" s="36">
        <v>43677</v>
      </c>
      <c r="B40" s="37" t="s">
        <v>94</v>
      </c>
      <c r="C40" s="38">
        <v>450000</v>
      </c>
      <c r="D40" s="39">
        <f t="shared" si="3"/>
        <v>0</v>
      </c>
      <c r="E40" s="39">
        <f t="shared" si="4"/>
        <v>450000</v>
      </c>
      <c r="F40" s="34">
        <f t="shared" si="5"/>
        <v>43647</v>
      </c>
      <c r="G40" s="7" t="s">
        <v>247</v>
      </c>
    </row>
    <row r="41" spans="1:7" x14ac:dyDescent="0.3">
      <c r="A41" s="36">
        <v>43677</v>
      </c>
      <c r="B41" s="37" t="s">
        <v>350</v>
      </c>
      <c r="C41" s="38">
        <v>-1000000</v>
      </c>
      <c r="D41" s="39">
        <f t="shared" si="3"/>
        <v>-1000000</v>
      </c>
      <c r="E41" s="39">
        <f t="shared" si="4"/>
        <v>0</v>
      </c>
      <c r="F41" s="34">
        <f t="shared" si="5"/>
        <v>43647</v>
      </c>
      <c r="G41" s="7" t="s">
        <v>247</v>
      </c>
    </row>
    <row r="42" spans="1:7" x14ac:dyDescent="0.3">
      <c r="A42" s="36">
        <v>43677</v>
      </c>
      <c r="B42" s="37" t="s">
        <v>350</v>
      </c>
      <c r="C42" s="38">
        <v>-450000</v>
      </c>
      <c r="D42" s="39">
        <f t="shared" si="3"/>
        <v>-450000</v>
      </c>
      <c r="E42" s="39">
        <f t="shared" si="4"/>
        <v>0</v>
      </c>
      <c r="F42" s="34">
        <f t="shared" si="5"/>
        <v>43647</v>
      </c>
      <c r="G42" s="7" t="s">
        <v>247</v>
      </c>
    </row>
    <row r="43" spans="1:7" x14ac:dyDescent="0.3">
      <c r="A43" s="36">
        <v>43711</v>
      </c>
      <c r="B43" s="37" t="s">
        <v>94</v>
      </c>
      <c r="C43" s="38">
        <v>450000</v>
      </c>
      <c r="D43" s="39">
        <f t="shared" si="3"/>
        <v>0</v>
      </c>
      <c r="E43" s="39">
        <f t="shared" si="4"/>
        <v>450000</v>
      </c>
      <c r="F43" s="34">
        <f t="shared" si="5"/>
        <v>43709</v>
      </c>
      <c r="G43" s="7" t="s">
        <v>247</v>
      </c>
    </row>
    <row r="44" spans="1:7" x14ac:dyDescent="0.3">
      <c r="A44" s="36">
        <v>43711</v>
      </c>
      <c r="B44" s="37" t="s">
        <v>350</v>
      </c>
      <c r="C44" s="38">
        <v>-450000</v>
      </c>
      <c r="D44" s="39">
        <f t="shared" si="3"/>
        <v>-450000</v>
      </c>
      <c r="E44" s="39">
        <f t="shared" si="4"/>
        <v>0</v>
      </c>
      <c r="F44" s="34">
        <f t="shared" si="5"/>
        <v>43709</v>
      </c>
      <c r="G44" s="7" t="s">
        <v>247</v>
      </c>
    </row>
    <row r="45" spans="1:7" x14ac:dyDescent="0.3">
      <c r="A45" s="36">
        <v>43724</v>
      </c>
      <c r="B45" s="37" t="s">
        <v>94</v>
      </c>
      <c r="C45" s="38">
        <v>2819720</v>
      </c>
      <c r="D45" s="39">
        <f t="shared" si="3"/>
        <v>0</v>
      </c>
      <c r="E45" s="39">
        <f t="shared" si="4"/>
        <v>2819720</v>
      </c>
      <c r="F45" s="34">
        <f t="shared" si="5"/>
        <v>43709</v>
      </c>
      <c r="G45" s="7" t="s">
        <v>247</v>
      </c>
    </row>
    <row r="46" spans="1:7" x14ac:dyDescent="0.3">
      <c r="A46" s="36">
        <v>43724</v>
      </c>
      <c r="B46" s="37" t="s">
        <v>350</v>
      </c>
      <c r="C46" s="38">
        <v>-3673595</v>
      </c>
      <c r="D46" s="39">
        <f t="shared" si="3"/>
        <v>-3673595</v>
      </c>
      <c r="E46" s="39">
        <f t="shared" si="4"/>
        <v>0</v>
      </c>
      <c r="F46" s="34">
        <f t="shared" si="5"/>
        <v>43709</v>
      </c>
      <c r="G46" s="7" t="s">
        <v>247</v>
      </c>
    </row>
    <row r="47" spans="1:7" x14ac:dyDescent="0.3">
      <c r="A47" s="36">
        <v>43724</v>
      </c>
      <c r="B47" s="37" t="s">
        <v>359</v>
      </c>
      <c r="C47" s="38">
        <v>853874.94</v>
      </c>
      <c r="D47" s="39">
        <f t="shared" si="3"/>
        <v>0</v>
      </c>
      <c r="E47" s="39">
        <f t="shared" si="4"/>
        <v>853874.94</v>
      </c>
      <c r="F47" s="34">
        <f t="shared" si="5"/>
        <v>43709</v>
      </c>
      <c r="G47" s="7" t="s">
        <v>247</v>
      </c>
    </row>
    <row r="48" spans="1:7" x14ac:dyDescent="0.3">
      <c r="A48" s="36">
        <v>43752</v>
      </c>
      <c r="B48" s="37" t="s">
        <v>94</v>
      </c>
      <c r="C48" s="38">
        <v>-1917460</v>
      </c>
      <c r="D48" s="39">
        <f t="shared" si="3"/>
        <v>-1917460</v>
      </c>
      <c r="E48" s="39">
        <f t="shared" si="4"/>
        <v>0</v>
      </c>
      <c r="F48" s="34">
        <f t="shared" si="5"/>
        <v>43739</v>
      </c>
      <c r="G48" s="7" t="s">
        <v>247</v>
      </c>
    </row>
    <row r="49" spans="1:7" x14ac:dyDescent="0.3">
      <c r="A49" s="36">
        <v>43752</v>
      </c>
      <c r="B49" s="37" t="s">
        <v>361</v>
      </c>
      <c r="C49" s="38">
        <v>4000000</v>
      </c>
      <c r="D49" s="39">
        <f t="shared" si="3"/>
        <v>0</v>
      </c>
      <c r="E49" s="39">
        <f t="shared" si="4"/>
        <v>4000000</v>
      </c>
      <c r="F49" s="34">
        <f t="shared" si="5"/>
        <v>43739</v>
      </c>
      <c r="G49" s="7" t="s">
        <v>247</v>
      </c>
    </row>
    <row r="50" spans="1:7" x14ac:dyDescent="0.3">
      <c r="A50" s="36">
        <v>43752</v>
      </c>
      <c r="B50" s="37" t="s">
        <v>359</v>
      </c>
      <c r="C50" s="38">
        <v>1945790.17</v>
      </c>
      <c r="D50" s="39">
        <f t="shared" si="3"/>
        <v>0</v>
      </c>
      <c r="E50" s="39">
        <f t="shared" si="4"/>
        <v>1945790.17</v>
      </c>
      <c r="F50" s="34">
        <f t="shared" si="5"/>
        <v>43739</v>
      </c>
      <c r="G50" s="7" t="s">
        <v>247</v>
      </c>
    </row>
    <row r="51" spans="1:7" x14ac:dyDescent="0.3">
      <c r="A51" s="36">
        <v>43817</v>
      </c>
      <c r="B51" s="37" t="s">
        <v>94</v>
      </c>
      <c r="C51" s="38">
        <v>-1000000</v>
      </c>
      <c r="D51" s="39">
        <f t="shared" si="3"/>
        <v>-1000000</v>
      </c>
      <c r="E51" s="39">
        <f t="shared" si="4"/>
        <v>0</v>
      </c>
      <c r="F51" s="34">
        <f t="shared" si="5"/>
        <v>43800</v>
      </c>
      <c r="G51" s="7" t="s">
        <v>247</v>
      </c>
    </row>
    <row r="52" spans="1:7" x14ac:dyDescent="0.3">
      <c r="A52" s="36">
        <v>43817</v>
      </c>
      <c r="B52" s="37" t="s">
        <v>361</v>
      </c>
      <c r="C52" s="38">
        <v>38288179.109999999</v>
      </c>
      <c r="D52" s="39">
        <f t="shared" si="3"/>
        <v>0</v>
      </c>
      <c r="E52" s="39">
        <f t="shared" si="4"/>
        <v>38288179.109999999</v>
      </c>
      <c r="F52" s="34">
        <f t="shared" si="5"/>
        <v>43800</v>
      </c>
      <c r="G52" s="7" t="s">
        <v>247</v>
      </c>
    </row>
    <row r="53" spans="1:7" x14ac:dyDescent="0.3">
      <c r="A53" s="36">
        <v>43861</v>
      </c>
      <c r="B53" s="37" t="s">
        <v>361</v>
      </c>
      <c r="C53" s="38">
        <v>5747034.3099999996</v>
      </c>
      <c r="D53" s="39">
        <f t="shared" si="3"/>
        <v>0</v>
      </c>
      <c r="E53" s="39">
        <f t="shared" si="4"/>
        <v>5747034.3099999996</v>
      </c>
      <c r="F53" s="34">
        <f t="shared" si="5"/>
        <v>43831</v>
      </c>
      <c r="G53" s="7" t="s">
        <v>247</v>
      </c>
    </row>
    <row r="54" spans="1:7" x14ac:dyDescent="0.3">
      <c r="A54" s="36">
        <v>43861</v>
      </c>
      <c r="B54" s="37" t="s">
        <v>359</v>
      </c>
      <c r="C54" s="38">
        <v>2480910.0099999998</v>
      </c>
      <c r="D54" s="39">
        <f t="shared" si="3"/>
        <v>0</v>
      </c>
      <c r="E54" s="39">
        <f t="shared" si="4"/>
        <v>2480910.0099999998</v>
      </c>
      <c r="F54" s="34">
        <f t="shared" si="5"/>
        <v>43831</v>
      </c>
      <c r="G54" s="7" t="s">
        <v>247</v>
      </c>
    </row>
    <row r="55" spans="1:7" x14ac:dyDescent="0.3">
      <c r="A55" s="36">
        <v>43916</v>
      </c>
      <c r="B55" s="37" t="s">
        <v>350</v>
      </c>
      <c r="C55" s="38">
        <v>-7000000</v>
      </c>
      <c r="D55" s="39">
        <f t="shared" si="3"/>
        <v>-7000000</v>
      </c>
      <c r="E55" s="39">
        <f t="shared" si="4"/>
        <v>0</v>
      </c>
      <c r="F55" s="34">
        <f t="shared" si="5"/>
        <v>43891</v>
      </c>
      <c r="G55" s="7" t="s">
        <v>247</v>
      </c>
    </row>
    <row r="56" spans="1:7" x14ac:dyDescent="0.3">
      <c r="A56" s="36">
        <v>43916</v>
      </c>
      <c r="B56" s="37" t="s">
        <v>361</v>
      </c>
      <c r="C56" s="38">
        <v>3169354.38</v>
      </c>
      <c r="D56" s="39">
        <f t="shared" si="3"/>
        <v>0</v>
      </c>
      <c r="E56" s="39">
        <f t="shared" si="4"/>
        <v>3169354.38</v>
      </c>
      <c r="F56" s="34">
        <f t="shared" si="5"/>
        <v>43891</v>
      </c>
      <c r="G56" s="7" t="s">
        <v>247</v>
      </c>
    </row>
    <row r="57" spans="1:7" x14ac:dyDescent="0.3">
      <c r="A57" s="36">
        <v>43916</v>
      </c>
      <c r="B57" s="37" t="s">
        <v>359</v>
      </c>
      <c r="C57" s="38">
        <v>1988729.65</v>
      </c>
      <c r="D57" s="39">
        <f t="shared" si="3"/>
        <v>0</v>
      </c>
      <c r="E57" s="39">
        <f t="shared" si="4"/>
        <v>1988729.65</v>
      </c>
      <c r="F57" s="34">
        <f t="shared" si="5"/>
        <v>43891</v>
      </c>
      <c r="G57" s="7" t="s">
        <v>247</v>
      </c>
    </row>
    <row r="58" spans="1:7" x14ac:dyDescent="0.3">
      <c r="A58" s="36">
        <v>43921</v>
      </c>
      <c r="B58" s="37" t="s">
        <v>361</v>
      </c>
      <c r="C58" s="38">
        <v>17154800</v>
      </c>
      <c r="D58" s="39">
        <f t="shared" si="3"/>
        <v>0</v>
      </c>
      <c r="E58" s="39">
        <f t="shared" si="4"/>
        <v>17154800</v>
      </c>
      <c r="F58" s="34">
        <f t="shared" si="5"/>
        <v>43891</v>
      </c>
      <c r="G58" s="7" t="s">
        <v>247</v>
      </c>
    </row>
    <row r="59" spans="1:7" x14ac:dyDescent="0.3">
      <c r="A59" s="36">
        <v>44075</v>
      </c>
      <c r="B59" s="37" t="s">
        <v>359</v>
      </c>
      <c r="C59" s="38">
        <v>7609365.8300000001</v>
      </c>
      <c r="D59" s="39">
        <f t="shared" si="3"/>
        <v>0</v>
      </c>
      <c r="E59" s="39">
        <f t="shared" si="4"/>
        <v>7609365.8300000001</v>
      </c>
      <c r="F59" s="34">
        <f t="shared" si="5"/>
        <v>44075</v>
      </c>
      <c r="G59" s="7" t="s">
        <v>247</v>
      </c>
    </row>
    <row r="60" spans="1:7" x14ac:dyDescent="0.3">
      <c r="A60" s="36">
        <v>44118</v>
      </c>
      <c r="B60" s="37" t="s">
        <v>359</v>
      </c>
      <c r="C60" s="38">
        <v>948648</v>
      </c>
      <c r="D60" s="39">
        <f t="shared" si="3"/>
        <v>0</v>
      </c>
      <c r="E60" s="39">
        <f t="shared" si="4"/>
        <v>948648</v>
      </c>
      <c r="F60" s="34">
        <f t="shared" si="5"/>
        <v>44105</v>
      </c>
      <c r="G60" s="7" t="s">
        <v>247</v>
      </c>
    </row>
    <row r="61" spans="1:7" x14ac:dyDescent="0.3">
      <c r="A61" s="36">
        <v>44265</v>
      </c>
      <c r="B61" s="37" t="s">
        <v>94</v>
      </c>
      <c r="C61" s="38">
        <v>3798648.74</v>
      </c>
      <c r="D61" s="39">
        <f t="shared" si="3"/>
        <v>0</v>
      </c>
      <c r="E61" s="39">
        <f t="shared" si="4"/>
        <v>3798648.74</v>
      </c>
      <c r="F61" s="34">
        <f t="shared" si="5"/>
        <v>44256</v>
      </c>
      <c r="G61" s="7" t="s">
        <v>247</v>
      </c>
    </row>
    <row r="62" spans="1:7" x14ac:dyDescent="0.3">
      <c r="A62" s="36">
        <v>44265</v>
      </c>
      <c r="B62" s="37" t="s">
        <v>361</v>
      </c>
      <c r="C62" s="38">
        <v>7240475.3200000003</v>
      </c>
      <c r="D62" s="39">
        <f t="shared" si="3"/>
        <v>0</v>
      </c>
      <c r="E62" s="39">
        <f t="shared" si="4"/>
        <v>7240475.3200000003</v>
      </c>
      <c r="F62" s="34">
        <f t="shared" si="5"/>
        <v>44256</v>
      </c>
      <c r="G62" s="7" t="s">
        <v>247</v>
      </c>
    </row>
    <row r="63" spans="1:7" x14ac:dyDescent="0.3">
      <c r="A63" s="36">
        <v>44265</v>
      </c>
      <c r="B63" s="37" t="s">
        <v>359</v>
      </c>
      <c r="C63" s="38">
        <v>954998.58</v>
      </c>
      <c r="D63" s="39">
        <f t="shared" si="3"/>
        <v>0</v>
      </c>
      <c r="E63" s="39">
        <f t="shared" si="4"/>
        <v>954998.58</v>
      </c>
      <c r="F63" s="34">
        <f t="shared" si="5"/>
        <v>44256</v>
      </c>
      <c r="G63" s="7" t="s">
        <v>247</v>
      </c>
    </row>
    <row r="64" spans="1:7" x14ac:dyDescent="0.3">
      <c r="A64" s="36">
        <v>44301</v>
      </c>
      <c r="B64" s="37" t="s">
        <v>350</v>
      </c>
      <c r="C64" s="38">
        <v>11099288.4</v>
      </c>
      <c r="D64" s="39">
        <f t="shared" si="3"/>
        <v>0</v>
      </c>
      <c r="E64" s="39">
        <f t="shared" si="4"/>
        <v>11099288.4</v>
      </c>
      <c r="F64" s="34">
        <f t="shared" si="5"/>
        <v>44287</v>
      </c>
      <c r="G64" s="7" t="s">
        <v>247</v>
      </c>
    </row>
    <row r="65" spans="1:7" x14ac:dyDescent="0.3">
      <c r="A65" s="36">
        <v>44385</v>
      </c>
      <c r="B65" s="37" t="s">
        <v>350</v>
      </c>
      <c r="C65" s="38">
        <v>9000000</v>
      </c>
      <c r="D65" s="39">
        <f t="shared" si="3"/>
        <v>0</v>
      </c>
      <c r="E65" s="39">
        <f t="shared" si="4"/>
        <v>9000000</v>
      </c>
      <c r="F65" s="34">
        <f t="shared" si="5"/>
        <v>44378</v>
      </c>
      <c r="G65" s="7" t="s">
        <v>247</v>
      </c>
    </row>
    <row r="66" spans="1:7" x14ac:dyDescent="0.3">
      <c r="A66" s="36">
        <v>44385</v>
      </c>
      <c r="B66" s="37" t="s">
        <v>359</v>
      </c>
      <c r="C66" s="38">
        <v>476082</v>
      </c>
      <c r="D66" s="39">
        <f t="shared" si="3"/>
        <v>0</v>
      </c>
      <c r="E66" s="39">
        <f t="shared" si="4"/>
        <v>476082</v>
      </c>
      <c r="F66" s="34">
        <f t="shared" si="5"/>
        <v>44378</v>
      </c>
      <c r="G66" s="7" t="s">
        <v>247</v>
      </c>
    </row>
    <row r="67" spans="1:7" x14ac:dyDescent="0.3">
      <c r="A67" s="36">
        <v>44455</v>
      </c>
      <c r="B67" s="37" t="s">
        <v>94</v>
      </c>
      <c r="C67" s="38">
        <v>1152462.5</v>
      </c>
      <c r="D67" s="39">
        <f t="shared" si="3"/>
        <v>0</v>
      </c>
      <c r="E67" s="39">
        <f t="shared" si="4"/>
        <v>1152462.5</v>
      </c>
      <c r="F67" s="34">
        <f t="shared" si="5"/>
        <v>44440</v>
      </c>
      <c r="G67" s="7" t="s">
        <v>247</v>
      </c>
    </row>
    <row r="68" spans="1:7" x14ac:dyDescent="0.3">
      <c r="A68" s="36">
        <v>44455</v>
      </c>
      <c r="B68" s="37" t="s">
        <v>350</v>
      </c>
      <c r="C68" s="38">
        <v>8965058</v>
      </c>
      <c r="D68" s="39">
        <f t="shared" si="3"/>
        <v>0</v>
      </c>
      <c r="E68" s="39">
        <f t="shared" si="4"/>
        <v>8965058</v>
      </c>
      <c r="F68" s="34">
        <f t="shared" si="5"/>
        <v>44440</v>
      </c>
      <c r="G68" s="7" t="s">
        <v>247</v>
      </c>
    </row>
    <row r="69" spans="1:7" x14ac:dyDescent="0.3">
      <c r="A69" s="36">
        <v>44511</v>
      </c>
      <c r="B69" s="37" t="s">
        <v>94</v>
      </c>
      <c r="C69" s="38">
        <v>737907.5</v>
      </c>
      <c r="D69" s="39">
        <f t="shared" ref="D69:D82" si="6">IF(C69&lt;0,C69,0)</f>
        <v>0</v>
      </c>
      <c r="E69" s="39">
        <f t="shared" ref="E69:E82" si="7">IF(C69&gt;0,C69,0)</f>
        <v>737907.5</v>
      </c>
      <c r="F69" s="34">
        <f t="shared" ref="F69:F82" si="8">DATE(YEAR(A69),MONTH(A69),1)</f>
        <v>44501</v>
      </c>
      <c r="G69" s="7" t="s">
        <v>247</v>
      </c>
    </row>
    <row r="70" spans="1:7" x14ac:dyDescent="0.3">
      <c r="A70" s="36">
        <v>44511</v>
      </c>
      <c r="B70" s="37" t="s">
        <v>350</v>
      </c>
      <c r="C70" s="38">
        <v>6875267.0199999996</v>
      </c>
      <c r="D70" s="39">
        <f t="shared" si="6"/>
        <v>0</v>
      </c>
      <c r="E70" s="39">
        <f t="shared" si="7"/>
        <v>6875267.0199999996</v>
      </c>
      <c r="F70" s="34">
        <f t="shared" si="8"/>
        <v>44501</v>
      </c>
      <c r="G70" s="7" t="s">
        <v>247</v>
      </c>
    </row>
    <row r="71" spans="1:7" x14ac:dyDescent="0.3">
      <c r="A71" s="36">
        <v>44551</v>
      </c>
      <c r="B71" s="37" t="s">
        <v>94</v>
      </c>
      <c r="C71" s="38">
        <v>3481490.1</v>
      </c>
      <c r="D71" s="39">
        <f t="shared" si="6"/>
        <v>0</v>
      </c>
      <c r="E71" s="39">
        <f t="shared" si="7"/>
        <v>3481490.1</v>
      </c>
      <c r="F71" s="34">
        <f t="shared" si="8"/>
        <v>44531</v>
      </c>
      <c r="G71" s="7" t="s">
        <v>247</v>
      </c>
    </row>
    <row r="72" spans="1:7" x14ac:dyDescent="0.3">
      <c r="A72" s="36">
        <v>44551</v>
      </c>
      <c r="B72" s="37" t="s">
        <v>350</v>
      </c>
      <c r="C72" s="38">
        <v>1093777.6599999999</v>
      </c>
      <c r="D72" s="39">
        <f t="shared" si="6"/>
        <v>0</v>
      </c>
      <c r="E72" s="39">
        <f t="shared" si="7"/>
        <v>1093777.6599999999</v>
      </c>
      <c r="F72" s="34">
        <f t="shared" si="8"/>
        <v>44531</v>
      </c>
      <c r="G72" s="7" t="s">
        <v>247</v>
      </c>
    </row>
    <row r="73" spans="1:7" x14ac:dyDescent="0.3">
      <c r="A73" s="68">
        <v>44708</v>
      </c>
      <c r="B73" s="64" t="s">
        <v>353</v>
      </c>
      <c r="C73" s="66">
        <v>-5500000</v>
      </c>
      <c r="D73" s="69">
        <f>IF(C73&lt;0,C73,0)</f>
        <v>-5500000</v>
      </c>
      <c r="E73" s="67">
        <f>IF(C73&gt;0,C73,0)</f>
        <v>0</v>
      </c>
      <c r="F73" s="63">
        <f>DATE(YEAR(A73),MONTH(A73),1)</f>
        <v>44682</v>
      </c>
      <c r="G73" s="70" t="s">
        <v>247</v>
      </c>
    </row>
    <row r="74" spans="1:7" x14ac:dyDescent="0.3">
      <c r="A74" s="36">
        <v>44804</v>
      </c>
      <c r="B74" s="37" t="s">
        <v>360</v>
      </c>
      <c r="C74" s="38">
        <v>-7000000</v>
      </c>
      <c r="D74" s="39">
        <f t="shared" si="6"/>
        <v>-7000000</v>
      </c>
      <c r="E74" s="39">
        <f t="shared" si="7"/>
        <v>0</v>
      </c>
      <c r="F74" s="34">
        <f t="shared" si="8"/>
        <v>44774</v>
      </c>
      <c r="G74" s="7" t="s">
        <v>247</v>
      </c>
    </row>
    <row r="75" spans="1:7" x14ac:dyDescent="0.3">
      <c r="A75" s="36">
        <v>45043</v>
      </c>
      <c r="B75" s="37" t="s">
        <v>94</v>
      </c>
      <c r="C75" s="38">
        <v>694476.87</v>
      </c>
      <c r="D75" s="39">
        <f t="shared" si="6"/>
        <v>0</v>
      </c>
      <c r="E75" s="39">
        <f t="shared" si="7"/>
        <v>694476.87</v>
      </c>
      <c r="F75" s="34">
        <f t="shared" si="8"/>
        <v>45017</v>
      </c>
      <c r="G75" s="7" t="s">
        <v>247</v>
      </c>
    </row>
    <row r="76" spans="1:7" x14ac:dyDescent="0.3">
      <c r="A76" s="36">
        <v>45043</v>
      </c>
      <c r="B76" s="37" t="s">
        <v>360</v>
      </c>
      <c r="C76" s="38">
        <v>6288799.3899999997</v>
      </c>
      <c r="D76" s="39">
        <f t="shared" si="6"/>
        <v>0</v>
      </c>
      <c r="E76" s="39">
        <f t="shared" si="7"/>
        <v>6288799.3899999997</v>
      </c>
      <c r="F76" s="34">
        <f t="shared" si="8"/>
        <v>45017</v>
      </c>
      <c r="G76" s="7" t="s">
        <v>247</v>
      </c>
    </row>
    <row r="77" spans="1:7" x14ac:dyDescent="0.3">
      <c r="A77" s="36">
        <v>45089</v>
      </c>
      <c r="B77" s="37" t="s">
        <v>94</v>
      </c>
      <c r="C77" s="38">
        <v>451182.19</v>
      </c>
      <c r="D77" s="39">
        <f t="shared" si="6"/>
        <v>0</v>
      </c>
      <c r="E77" s="39">
        <f t="shared" si="7"/>
        <v>451182.19</v>
      </c>
      <c r="F77" s="34">
        <f t="shared" si="8"/>
        <v>45078</v>
      </c>
      <c r="G77" s="7" t="s">
        <v>247</v>
      </c>
    </row>
    <row r="78" spans="1:7" x14ac:dyDescent="0.3">
      <c r="A78" s="36">
        <v>45089</v>
      </c>
      <c r="B78" s="37" t="s">
        <v>360</v>
      </c>
      <c r="C78" s="38">
        <v>1064625.1000000001</v>
      </c>
      <c r="D78" s="39">
        <f t="shared" si="6"/>
        <v>0</v>
      </c>
      <c r="E78" s="39">
        <f t="shared" si="7"/>
        <v>1064625.1000000001</v>
      </c>
      <c r="F78" s="34">
        <f t="shared" si="8"/>
        <v>45078</v>
      </c>
      <c r="G78" s="7" t="s">
        <v>247</v>
      </c>
    </row>
    <row r="79" spans="1:7" x14ac:dyDescent="0.3">
      <c r="A79" s="36">
        <v>45160</v>
      </c>
      <c r="B79" s="37" t="s">
        <v>349</v>
      </c>
      <c r="C79" s="38">
        <v>-6000000</v>
      </c>
      <c r="D79" s="39">
        <f t="shared" si="6"/>
        <v>-6000000</v>
      </c>
      <c r="E79" s="39">
        <f t="shared" si="7"/>
        <v>0</v>
      </c>
      <c r="F79" s="34">
        <f t="shared" si="8"/>
        <v>45139</v>
      </c>
      <c r="G79" s="7" t="s">
        <v>247</v>
      </c>
    </row>
    <row r="80" spans="1:7" x14ac:dyDescent="0.3">
      <c r="A80" s="36">
        <v>45224</v>
      </c>
      <c r="B80" s="37" t="s">
        <v>352</v>
      </c>
      <c r="C80" s="38">
        <v>-2500000</v>
      </c>
      <c r="D80" s="39">
        <f t="shared" si="6"/>
        <v>-2500000</v>
      </c>
      <c r="E80" s="39">
        <f t="shared" si="7"/>
        <v>0</v>
      </c>
      <c r="F80" s="34">
        <f t="shared" si="8"/>
        <v>45200</v>
      </c>
      <c r="G80" s="7" t="s">
        <v>247</v>
      </c>
    </row>
    <row r="81" spans="1:7" x14ac:dyDescent="0.3">
      <c r="A81" s="36">
        <v>45237</v>
      </c>
      <c r="B81" s="37" t="s">
        <v>350</v>
      </c>
      <c r="C81" s="38">
        <v>-4675000</v>
      </c>
      <c r="D81" s="39">
        <f t="shared" si="6"/>
        <v>-4675000</v>
      </c>
      <c r="E81" s="39">
        <f t="shared" si="7"/>
        <v>0</v>
      </c>
      <c r="F81" s="34">
        <f t="shared" si="8"/>
        <v>45231</v>
      </c>
      <c r="G81" s="7" t="s">
        <v>247</v>
      </c>
    </row>
    <row r="82" spans="1:7" x14ac:dyDescent="0.3">
      <c r="A82" s="36">
        <v>45369</v>
      </c>
      <c r="B82" s="37" t="s">
        <v>350</v>
      </c>
      <c r="C82" s="38">
        <v>-5000000</v>
      </c>
      <c r="D82" s="39">
        <f t="shared" si="6"/>
        <v>-5000000</v>
      </c>
      <c r="E82" s="39">
        <f t="shared" si="7"/>
        <v>0</v>
      </c>
      <c r="F82" s="34">
        <f t="shared" si="8"/>
        <v>45352</v>
      </c>
      <c r="G82" s="7" t="s">
        <v>247</v>
      </c>
    </row>
    <row r="83" spans="1:7" x14ac:dyDescent="0.3">
      <c r="A83" s="36">
        <v>45463</v>
      </c>
      <c r="B83" s="37" t="s">
        <v>349</v>
      </c>
      <c r="C83" s="38">
        <v>-3600000</v>
      </c>
      <c r="D83" s="39">
        <f t="shared" ref="D83:D94" si="9">IF(C83&lt;0,C83,0)</f>
        <v>-3600000</v>
      </c>
      <c r="E83" s="39">
        <f t="shared" ref="E83:E94" si="10">IF(C83&gt;0,C83,0)</f>
        <v>0</v>
      </c>
      <c r="F83" s="34">
        <f t="shared" ref="F83:F94" si="11">DATE(YEAR(A83),MONTH(A83),1)</f>
        <v>45444</v>
      </c>
      <c r="G83" s="7" t="s">
        <v>247</v>
      </c>
    </row>
    <row r="84" spans="1:7" x14ac:dyDescent="0.3">
      <c r="A84" s="36">
        <v>45513</v>
      </c>
      <c r="B84" s="37" t="s">
        <v>350</v>
      </c>
      <c r="C84" s="38">
        <v>-8000000</v>
      </c>
      <c r="D84" s="39">
        <f t="shared" si="9"/>
        <v>-8000000</v>
      </c>
      <c r="E84" s="39">
        <f t="shared" si="10"/>
        <v>0</v>
      </c>
      <c r="F84" s="34">
        <f t="shared" si="11"/>
        <v>45505</v>
      </c>
      <c r="G84" s="7" t="s">
        <v>247</v>
      </c>
    </row>
    <row r="85" spans="1:7" x14ac:dyDescent="0.3">
      <c r="A85" s="36">
        <v>45562</v>
      </c>
      <c r="B85" s="37" t="s">
        <v>349</v>
      </c>
      <c r="C85" s="38">
        <v>-9751000</v>
      </c>
      <c r="D85" s="39">
        <f t="shared" si="9"/>
        <v>-9751000</v>
      </c>
      <c r="E85" s="39">
        <f t="shared" si="10"/>
        <v>0</v>
      </c>
      <c r="F85" s="34">
        <f t="shared" si="11"/>
        <v>45536</v>
      </c>
      <c r="G85" s="7" t="s">
        <v>247</v>
      </c>
    </row>
    <row r="86" spans="1:7" x14ac:dyDescent="0.3">
      <c r="A86" s="36">
        <v>45616</v>
      </c>
      <c r="B86" s="37" t="s">
        <v>352</v>
      </c>
      <c r="C86" s="38">
        <v>-500000</v>
      </c>
      <c r="D86" s="39">
        <f t="shared" si="9"/>
        <v>-500000</v>
      </c>
      <c r="E86" s="39">
        <f t="shared" si="10"/>
        <v>0</v>
      </c>
      <c r="F86" s="34">
        <f t="shared" si="11"/>
        <v>45597</v>
      </c>
      <c r="G86" s="7" t="s">
        <v>247</v>
      </c>
    </row>
    <row r="87" spans="1:7" x14ac:dyDescent="0.3">
      <c r="A87" s="36">
        <v>45625</v>
      </c>
      <c r="B87" s="37" t="s">
        <v>350</v>
      </c>
      <c r="C87" s="38">
        <v>-6913000</v>
      </c>
      <c r="D87" s="39">
        <f t="shared" si="9"/>
        <v>-6913000</v>
      </c>
      <c r="E87" s="39">
        <f t="shared" si="10"/>
        <v>0</v>
      </c>
      <c r="F87" s="34">
        <f t="shared" si="11"/>
        <v>45597</v>
      </c>
      <c r="G87" s="7" t="s">
        <v>247</v>
      </c>
    </row>
    <row r="88" spans="1:7" x14ac:dyDescent="0.3">
      <c r="A88" s="36">
        <v>45638</v>
      </c>
      <c r="B88" s="37" t="s">
        <v>349</v>
      </c>
      <c r="C88" s="38">
        <v>-4700000</v>
      </c>
      <c r="D88" s="39">
        <f t="shared" si="9"/>
        <v>-4700000</v>
      </c>
      <c r="E88" s="39">
        <f t="shared" si="10"/>
        <v>0</v>
      </c>
      <c r="F88" s="34">
        <f t="shared" si="11"/>
        <v>45627</v>
      </c>
      <c r="G88" s="7" t="s">
        <v>247</v>
      </c>
    </row>
    <row r="89" spans="1:7" x14ac:dyDescent="0.3">
      <c r="A89" s="36">
        <v>45645</v>
      </c>
      <c r="B89" s="37" t="s">
        <v>351</v>
      </c>
      <c r="C89" s="38">
        <v>-13500000</v>
      </c>
      <c r="D89" s="39">
        <f t="shared" si="9"/>
        <v>-13500000</v>
      </c>
      <c r="E89" s="39">
        <f t="shared" si="10"/>
        <v>0</v>
      </c>
      <c r="F89" s="34">
        <f t="shared" si="11"/>
        <v>45627</v>
      </c>
      <c r="G89" s="7" t="s">
        <v>247</v>
      </c>
    </row>
    <row r="90" spans="1:7" x14ac:dyDescent="0.3">
      <c r="A90" s="36">
        <v>45698</v>
      </c>
      <c r="B90" s="37" t="s">
        <v>349</v>
      </c>
      <c r="C90" s="38">
        <v>-1500000</v>
      </c>
      <c r="D90" s="39">
        <f t="shared" si="9"/>
        <v>-1500000</v>
      </c>
      <c r="E90" s="39">
        <f t="shared" si="10"/>
        <v>0</v>
      </c>
      <c r="F90" s="34">
        <f t="shared" si="11"/>
        <v>45689</v>
      </c>
      <c r="G90" s="7" t="s">
        <v>247</v>
      </c>
    </row>
    <row r="91" spans="1:7" x14ac:dyDescent="0.3">
      <c r="A91" s="36">
        <v>45714</v>
      </c>
      <c r="B91" s="37" t="s">
        <v>350</v>
      </c>
      <c r="C91" s="38">
        <v>-8600000</v>
      </c>
      <c r="D91" s="39">
        <f t="shared" si="9"/>
        <v>-8600000</v>
      </c>
      <c r="E91" s="39">
        <f t="shared" si="10"/>
        <v>0</v>
      </c>
      <c r="F91" s="34">
        <f t="shared" si="11"/>
        <v>45689</v>
      </c>
      <c r="G91" s="7" t="s">
        <v>247</v>
      </c>
    </row>
    <row r="92" spans="1:7" x14ac:dyDescent="0.3">
      <c r="A92" s="36">
        <v>45748</v>
      </c>
      <c r="B92" s="37" t="s">
        <v>352</v>
      </c>
      <c r="C92" s="38">
        <v>-3640000</v>
      </c>
      <c r="D92" s="39">
        <f t="shared" si="9"/>
        <v>-3640000</v>
      </c>
      <c r="E92" s="39">
        <f t="shared" si="10"/>
        <v>0</v>
      </c>
      <c r="F92" s="34">
        <f t="shared" si="11"/>
        <v>45748</v>
      </c>
      <c r="G92" s="7" t="s">
        <v>247</v>
      </c>
    </row>
    <row r="93" spans="1:7" x14ac:dyDescent="0.3">
      <c r="A93" s="36">
        <v>45839</v>
      </c>
      <c r="B93" s="37" t="s">
        <v>352</v>
      </c>
      <c r="C93" s="38">
        <v>-7400000</v>
      </c>
      <c r="D93" s="39">
        <f t="shared" si="9"/>
        <v>-7400000</v>
      </c>
      <c r="E93" s="39">
        <f t="shared" si="10"/>
        <v>0</v>
      </c>
      <c r="F93" s="34">
        <f t="shared" si="11"/>
        <v>45839</v>
      </c>
      <c r="G93" s="7" t="s">
        <v>247</v>
      </c>
    </row>
    <row r="94" spans="1:7" x14ac:dyDescent="0.3">
      <c r="A94" s="36">
        <v>45881</v>
      </c>
      <c r="B94" s="37" t="s">
        <v>354</v>
      </c>
      <c r="C94" s="38">
        <v>-7000000</v>
      </c>
      <c r="D94" s="39">
        <f t="shared" si="9"/>
        <v>-7000000</v>
      </c>
      <c r="E94" s="39">
        <f t="shared" si="10"/>
        <v>0</v>
      </c>
      <c r="F94" s="34">
        <f t="shared" si="11"/>
        <v>45870</v>
      </c>
      <c r="G94" s="7" t="s">
        <v>247</v>
      </c>
    </row>
    <row r="95" spans="1:7" x14ac:dyDescent="0.3">
      <c r="A95" s="36">
        <v>45881</v>
      </c>
      <c r="B95" s="37" t="s">
        <v>355</v>
      </c>
      <c r="C95" s="38">
        <v>-13000000</v>
      </c>
      <c r="D95" s="39">
        <f t="shared" ref="D95:D107" si="12">IF(C95&lt;0,C95,0)</f>
        <v>-13000000</v>
      </c>
      <c r="E95" s="39">
        <f t="shared" ref="E95:E107" si="13">IF(C95&gt;0,C95,0)</f>
        <v>0</v>
      </c>
      <c r="F95" s="34">
        <f t="shared" ref="F95:F107" si="14">DATE(YEAR(A95),MONTH(A95),1)</f>
        <v>45870</v>
      </c>
      <c r="G95" s="7" t="s">
        <v>247</v>
      </c>
    </row>
    <row r="96" spans="1:7" x14ac:dyDescent="0.3">
      <c r="A96" s="36">
        <v>45923</v>
      </c>
      <c r="B96" s="37" t="s">
        <v>349</v>
      </c>
      <c r="C96" s="38">
        <v>24000000</v>
      </c>
      <c r="D96" s="39">
        <f t="shared" si="12"/>
        <v>0</v>
      </c>
      <c r="E96" s="39">
        <f t="shared" si="13"/>
        <v>24000000</v>
      </c>
      <c r="F96" s="34">
        <f t="shared" si="14"/>
        <v>45901</v>
      </c>
      <c r="G96" s="7" t="s">
        <v>247</v>
      </c>
    </row>
    <row r="97" spans="1:7" x14ac:dyDescent="0.3">
      <c r="A97" s="36">
        <v>45929</v>
      </c>
      <c r="B97" s="37" t="s">
        <v>356</v>
      </c>
      <c r="C97" s="38">
        <v>-12000000</v>
      </c>
      <c r="D97" s="39">
        <f t="shared" si="12"/>
        <v>-12000000</v>
      </c>
      <c r="E97" s="39">
        <f t="shared" si="13"/>
        <v>0</v>
      </c>
      <c r="F97" s="34">
        <f t="shared" si="14"/>
        <v>45901</v>
      </c>
      <c r="G97" s="7" t="s">
        <v>247</v>
      </c>
    </row>
    <row r="98" spans="1:7" x14ac:dyDescent="0.3">
      <c r="A98" s="36">
        <v>45937</v>
      </c>
      <c r="B98" s="37" t="s">
        <v>352</v>
      </c>
      <c r="C98" s="38">
        <v>-2260000</v>
      </c>
      <c r="D98" s="39">
        <f t="shared" si="12"/>
        <v>-2260000</v>
      </c>
      <c r="E98" s="39">
        <f t="shared" si="13"/>
        <v>0</v>
      </c>
      <c r="F98" s="34">
        <f t="shared" si="14"/>
        <v>45931</v>
      </c>
      <c r="G98" s="7" t="s">
        <v>247</v>
      </c>
    </row>
    <row r="99" spans="1:7" x14ac:dyDescent="0.3">
      <c r="A99" s="36">
        <v>45988</v>
      </c>
      <c r="B99" s="37" t="s">
        <v>351</v>
      </c>
      <c r="C99" s="38">
        <v>-10750000</v>
      </c>
      <c r="D99" s="39">
        <f t="shared" si="12"/>
        <v>-10750000</v>
      </c>
      <c r="E99" s="39">
        <f t="shared" si="13"/>
        <v>0</v>
      </c>
      <c r="F99" s="34">
        <f t="shared" si="14"/>
        <v>45962</v>
      </c>
      <c r="G99" s="7" t="s">
        <v>247</v>
      </c>
    </row>
    <row r="100" spans="1:7" x14ac:dyDescent="0.3">
      <c r="A100" s="36">
        <v>46093</v>
      </c>
      <c r="B100" s="37" t="s">
        <v>351</v>
      </c>
      <c r="C100" s="38">
        <v>-13600000</v>
      </c>
      <c r="D100" s="39">
        <f t="shared" si="12"/>
        <v>-13600000</v>
      </c>
      <c r="E100" s="39">
        <f t="shared" si="13"/>
        <v>0</v>
      </c>
      <c r="F100" s="34">
        <f t="shared" si="14"/>
        <v>46082</v>
      </c>
      <c r="G100" s="7" t="s">
        <v>247</v>
      </c>
    </row>
    <row r="101" spans="1:7" x14ac:dyDescent="0.3">
      <c r="A101" s="36">
        <v>46171</v>
      </c>
      <c r="B101" s="37" t="s">
        <v>357</v>
      </c>
      <c r="C101" s="38">
        <v>-1209348.2</v>
      </c>
      <c r="D101" s="39">
        <f t="shared" si="12"/>
        <v>-1209348.2</v>
      </c>
      <c r="E101" s="39">
        <f t="shared" si="13"/>
        <v>0</v>
      </c>
      <c r="F101" s="34">
        <f t="shared" si="14"/>
        <v>46143</v>
      </c>
      <c r="G101" s="7" t="s">
        <v>170</v>
      </c>
    </row>
    <row r="102" spans="1:7" x14ac:dyDescent="0.3">
      <c r="A102" s="36">
        <v>46174</v>
      </c>
      <c r="B102" s="37" t="s">
        <v>354</v>
      </c>
      <c r="C102" s="38">
        <v>-8000000</v>
      </c>
      <c r="D102" s="39">
        <f t="shared" si="12"/>
        <v>-8000000</v>
      </c>
      <c r="E102" s="39">
        <f t="shared" si="13"/>
        <v>0</v>
      </c>
      <c r="F102" s="34">
        <f t="shared" si="14"/>
        <v>46174</v>
      </c>
      <c r="G102" s="7" t="s">
        <v>247</v>
      </c>
    </row>
    <row r="103" spans="1:7" x14ac:dyDescent="0.3">
      <c r="A103" s="36">
        <v>46177</v>
      </c>
      <c r="B103" s="37" t="s">
        <v>357</v>
      </c>
      <c r="C103" s="38">
        <v>-1959878.2</v>
      </c>
      <c r="D103" s="39">
        <f t="shared" si="12"/>
        <v>-1959878.2</v>
      </c>
      <c r="E103" s="39">
        <f t="shared" si="13"/>
        <v>0</v>
      </c>
      <c r="F103" s="34">
        <f t="shared" si="14"/>
        <v>46174</v>
      </c>
      <c r="G103" s="7" t="s">
        <v>170</v>
      </c>
    </row>
    <row r="104" spans="1:7" x14ac:dyDescent="0.3">
      <c r="A104" s="36">
        <v>46199</v>
      </c>
      <c r="B104" s="37" t="s">
        <v>357</v>
      </c>
      <c r="C104" s="38">
        <v>-1219884.74</v>
      </c>
      <c r="D104" s="39">
        <f t="shared" si="12"/>
        <v>-1219884.74</v>
      </c>
      <c r="E104" s="39">
        <f t="shared" si="13"/>
        <v>0</v>
      </c>
      <c r="F104" s="34">
        <f t="shared" si="14"/>
        <v>46174</v>
      </c>
      <c r="G104" s="7" t="s">
        <v>170</v>
      </c>
    </row>
    <row r="105" spans="1:7" x14ac:dyDescent="0.3">
      <c r="A105" s="36">
        <v>46204</v>
      </c>
      <c r="B105" s="37" t="s">
        <v>351</v>
      </c>
      <c r="C105" s="38">
        <v>-3000000</v>
      </c>
      <c r="D105" s="39">
        <f t="shared" si="12"/>
        <v>-3000000</v>
      </c>
      <c r="E105" s="39">
        <f t="shared" si="13"/>
        <v>0</v>
      </c>
      <c r="F105" s="34">
        <f t="shared" si="14"/>
        <v>46204</v>
      </c>
      <c r="G105" s="7" t="s">
        <v>247</v>
      </c>
    </row>
    <row r="106" spans="1:7" x14ac:dyDescent="0.3">
      <c r="A106" s="36">
        <v>46231</v>
      </c>
      <c r="B106" s="37" t="s">
        <v>358</v>
      </c>
      <c r="C106" s="38">
        <v>-4466720.46</v>
      </c>
      <c r="D106" s="39">
        <f t="shared" si="12"/>
        <v>-4466720.46</v>
      </c>
      <c r="E106" s="39">
        <f t="shared" si="13"/>
        <v>0</v>
      </c>
      <c r="F106" s="34">
        <f t="shared" si="14"/>
        <v>46204</v>
      </c>
      <c r="G106" s="7" t="s">
        <v>171</v>
      </c>
    </row>
    <row r="107" spans="1:7" x14ac:dyDescent="0.3">
      <c r="A107" s="36">
        <v>46232</v>
      </c>
      <c r="B107" s="37" t="s">
        <v>351</v>
      </c>
      <c r="C107" s="38">
        <v>-4150000</v>
      </c>
      <c r="D107" s="39">
        <f t="shared" si="12"/>
        <v>-4150000</v>
      </c>
      <c r="E107" s="39">
        <f t="shared" si="13"/>
        <v>0</v>
      </c>
      <c r="F107" s="34">
        <f t="shared" si="14"/>
        <v>46204</v>
      </c>
      <c r="G107" s="7" t="s">
        <v>247</v>
      </c>
    </row>
    <row r="108" spans="1:7" x14ac:dyDescent="0.3">
      <c r="A108" s="68">
        <v>46252</v>
      </c>
      <c r="B108" s="64" t="s">
        <v>355</v>
      </c>
      <c r="C108" s="66">
        <v>-7000000</v>
      </c>
      <c r="D108" s="69">
        <f>IF(C108&lt;0,C108,0)</f>
        <v>-7000000</v>
      </c>
      <c r="E108" s="67">
        <f>IF(C108&gt;0,C108,0)</f>
        <v>0</v>
      </c>
      <c r="F108" s="63">
        <f>DATE(YEAR(A108),MONTH(A108),1)</f>
        <v>46235</v>
      </c>
      <c r="G108" s="70" t="s">
        <v>247</v>
      </c>
    </row>
    <row r="109" spans="1:7" x14ac:dyDescent="0.3">
      <c r="A109" s="68"/>
      <c r="B109" s="144"/>
      <c r="C109" s="38"/>
      <c r="D109" s="145">
        <f>SUBTOTAL(109,Table1[Drawdown (N$)])</f>
        <v>-371004230.87999994</v>
      </c>
      <c r="E109" s="146">
        <f>SUBTOTAL(109,Table1[Distribution (N$)])</f>
        <v>207800002.08999997</v>
      </c>
      <c r="F109" s="147"/>
      <c r="G109" s="7"/>
    </row>
    <row r="110" spans="1:7" x14ac:dyDescent="0.3">
      <c r="B110" s="71" t="s">
        <v>161</v>
      </c>
      <c r="C110" s="72">
        <f>SUM(C5:C109)</f>
        <v>-163204228.78999999</v>
      </c>
      <c r="D110" s="73">
        <f>SUM(D5:D109)</f>
        <v>-742008461.75999987</v>
      </c>
      <c r="E110" s="73">
        <f>SUM(E5:E109)</f>
        <v>415600004.17999995</v>
      </c>
    </row>
    <row r="112" spans="1:7" x14ac:dyDescent="0.3">
      <c r="A112" s="49" t="s">
        <v>249</v>
      </c>
      <c r="B112" s="50"/>
      <c r="C112" s="50"/>
    </row>
    <row r="113" spans="1:3" x14ac:dyDescent="0.3">
      <c r="A113" s="52" t="s">
        <v>59</v>
      </c>
      <c r="B113" s="52" t="s">
        <v>250</v>
      </c>
      <c r="C113" s="52" t="s">
        <v>251</v>
      </c>
    </row>
    <row r="114" spans="1:3" x14ac:dyDescent="0.3">
      <c r="A114" s="51" t="s">
        <v>72</v>
      </c>
      <c r="B114" s="60">
        <f t="shared" ref="B114:B127" si="15">SUMIF($B$5:$B$109,A114,$D$5:$D$109)</f>
        <v>0</v>
      </c>
      <c r="C114" s="60">
        <f t="shared" ref="C114:C127" si="16">SUMIF($B$5:$B$109,A114,$E$5:$E$109)</f>
        <v>0</v>
      </c>
    </row>
    <row r="115" spans="1:3" x14ac:dyDescent="0.3">
      <c r="A115" s="51" t="s">
        <v>74</v>
      </c>
      <c r="B115" s="60">
        <f t="shared" si="15"/>
        <v>0</v>
      </c>
      <c r="C115" s="60">
        <f t="shared" si="16"/>
        <v>0</v>
      </c>
    </row>
    <row r="116" spans="1:3" x14ac:dyDescent="0.3">
      <c r="A116" s="51" t="s">
        <v>76</v>
      </c>
      <c r="B116" s="60">
        <f t="shared" si="15"/>
        <v>0</v>
      </c>
      <c r="C116" s="60">
        <f t="shared" si="16"/>
        <v>0</v>
      </c>
    </row>
    <row r="117" spans="1:3" x14ac:dyDescent="0.3">
      <c r="A117" s="51" t="s">
        <v>79</v>
      </c>
      <c r="B117" s="60">
        <f t="shared" si="15"/>
        <v>0</v>
      </c>
      <c r="C117" s="60">
        <f t="shared" si="16"/>
        <v>0</v>
      </c>
    </row>
    <row r="118" spans="1:3" x14ac:dyDescent="0.3">
      <c r="A118" s="51" t="s">
        <v>81</v>
      </c>
      <c r="B118" s="60">
        <f t="shared" si="15"/>
        <v>0</v>
      </c>
      <c r="C118" s="60">
        <f t="shared" si="16"/>
        <v>0</v>
      </c>
    </row>
    <row r="119" spans="1:3" x14ac:dyDescent="0.3">
      <c r="A119" s="51" t="s">
        <v>83</v>
      </c>
      <c r="B119" s="60">
        <f t="shared" si="15"/>
        <v>0</v>
      </c>
      <c r="C119" s="60">
        <f t="shared" si="16"/>
        <v>0</v>
      </c>
    </row>
    <row r="120" spans="1:3" x14ac:dyDescent="0.3">
      <c r="A120" s="51" t="s">
        <v>85</v>
      </c>
      <c r="B120" s="60">
        <f t="shared" si="15"/>
        <v>0</v>
      </c>
      <c r="C120" s="60">
        <f t="shared" si="16"/>
        <v>0</v>
      </c>
    </row>
    <row r="121" spans="1:3" x14ac:dyDescent="0.3">
      <c r="A121" s="51" t="s">
        <v>87</v>
      </c>
      <c r="B121" s="60">
        <f t="shared" si="15"/>
        <v>0</v>
      </c>
      <c r="C121" s="60">
        <f t="shared" si="16"/>
        <v>0</v>
      </c>
    </row>
    <row r="122" spans="1:3" x14ac:dyDescent="0.3">
      <c r="A122" s="51" t="s">
        <v>90</v>
      </c>
      <c r="B122" s="60">
        <f t="shared" si="15"/>
        <v>0</v>
      </c>
      <c r="C122" s="60">
        <f t="shared" si="16"/>
        <v>0</v>
      </c>
    </row>
    <row r="123" spans="1:3" x14ac:dyDescent="0.3">
      <c r="A123" s="51" t="s">
        <v>92</v>
      </c>
      <c r="B123" s="60">
        <f t="shared" si="15"/>
        <v>0</v>
      </c>
      <c r="C123" s="60">
        <f t="shared" si="16"/>
        <v>0</v>
      </c>
    </row>
    <row r="124" spans="1:3" x14ac:dyDescent="0.3">
      <c r="A124" s="51" t="s">
        <v>94</v>
      </c>
      <c r="B124" s="60">
        <f t="shared" si="15"/>
        <v>-36109399.240000002</v>
      </c>
      <c r="C124" s="60">
        <f t="shared" si="16"/>
        <v>42507267.899999999</v>
      </c>
    </row>
    <row r="125" spans="1:3" x14ac:dyDescent="0.3">
      <c r="A125" s="51" t="s">
        <v>97</v>
      </c>
      <c r="B125" s="60">
        <f t="shared" si="15"/>
        <v>0</v>
      </c>
      <c r="C125" s="60">
        <f t="shared" si="16"/>
        <v>0</v>
      </c>
    </row>
    <row r="126" spans="1:3" x14ac:dyDescent="0.3">
      <c r="A126" s="51" t="s">
        <v>99</v>
      </c>
      <c r="B126" s="60">
        <f t="shared" si="15"/>
        <v>0</v>
      </c>
      <c r="C126" s="60">
        <f t="shared" si="16"/>
        <v>0</v>
      </c>
    </row>
    <row r="127" spans="1:3" x14ac:dyDescent="0.3">
      <c r="A127" s="51" t="s">
        <v>101</v>
      </c>
      <c r="B127" s="60">
        <f t="shared" si="15"/>
        <v>0</v>
      </c>
      <c r="C127" s="60">
        <f t="shared" si="16"/>
        <v>0</v>
      </c>
    </row>
    <row r="128" spans="1:3" x14ac:dyDescent="0.3">
      <c r="A128" s="56" t="s">
        <v>161</v>
      </c>
      <c r="B128" s="57">
        <f>SUM(B114:B127)</f>
        <v>-36109399.240000002</v>
      </c>
      <c r="C128" s="57">
        <f>SUM(C114:C127)</f>
        <v>42507267.899999999</v>
      </c>
    </row>
    <row r="129" spans="5:5" x14ac:dyDescent="0.3">
      <c r="E129" s="62">
        <f>B128-B122-B123</f>
        <v>-36109399.240000002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"/>
  <sheetViews>
    <sheetView topLeftCell="A11" zoomScaleNormal="100" workbookViewId="0">
      <selection activeCell="B6" sqref="B6"/>
    </sheetView>
  </sheetViews>
  <sheetFormatPr defaultColWidth="8.6640625" defaultRowHeight="14.4" x14ac:dyDescent="0.3"/>
  <cols>
    <col min="1" max="1" width="5" customWidth="1"/>
    <col min="2" max="2" width="40" customWidth="1"/>
    <col min="3" max="3" width="10" customWidth="1"/>
    <col min="4" max="4" width="150" customWidth="1"/>
  </cols>
  <sheetData>
    <row r="1" spans="1:4" ht="17.399999999999999" x14ac:dyDescent="0.3">
      <c r="A1" s="1" t="s">
        <v>172</v>
      </c>
    </row>
    <row r="2" spans="1:4" x14ac:dyDescent="0.3">
      <c r="A2" s="2" t="s">
        <v>229</v>
      </c>
    </row>
    <row r="4" spans="1:4" ht="30" customHeight="1" x14ac:dyDescent="0.3">
      <c r="A4" s="14" t="s">
        <v>173</v>
      </c>
      <c r="B4" s="14" t="s">
        <v>174</v>
      </c>
      <c r="C4" s="14" t="s">
        <v>60</v>
      </c>
      <c r="D4" s="14" t="s">
        <v>175</v>
      </c>
    </row>
    <row r="5" spans="1:4" ht="57.75" customHeight="1" x14ac:dyDescent="0.3">
      <c r="A5" s="5">
        <v>1</v>
      </c>
      <c r="B5" s="40" t="s">
        <v>176</v>
      </c>
      <c r="C5" s="41" t="s">
        <v>177</v>
      </c>
      <c r="D5" s="23" t="s">
        <v>178</v>
      </c>
    </row>
    <row r="6" spans="1:4" ht="57.75" customHeight="1" x14ac:dyDescent="0.3">
      <c r="A6" s="5">
        <v>2</v>
      </c>
      <c r="B6" s="40" t="s">
        <v>179</v>
      </c>
      <c r="C6" s="42" t="s">
        <v>180</v>
      </c>
      <c r="D6" s="23" t="s">
        <v>181</v>
      </c>
    </row>
    <row r="7" spans="1:4" ht="57.75" customHeight="1" x14ac:dyDescent="0.3">
      <c r="A7" s="5">
        <v>3</v>
      </c>
      <c r="B7" s="40" t="s">
        <v>182</v>
      </c>
      <c r="C7" s="42" t="s">
        <v>180</v>
      </c>
      <c r="D7" s="23" t="s">
        <v>183</v>
      </c>
    </row>
    <row r="8" spans="1:4" ht="57.75" customHeight="1" x14ac:dyDescent="0.3">
      <c r="A8" s="5">
        <v>4</v>
      </c>
      <c r="B8" s="40" t="s">
        <v>184</v>
      </c>
      <c r="C8" s="42" t="s">
        <v>180</v>
      </c>
      <c r="D8" s="23" t="s">
        <v>185</v>
      </c>
    </row>
    <row r="9" spans="1:4" ht="57.75" customHeight="1" x14ac:dyDescent="0.3">
      <c r="A9" s="5">
        <v>5</v>
      </c>
      <c r="B9" s="40" t="s">
        <v>186</v>
      </c>
      <c r="C9" s="42" t="s">
        <v>180</v>
      </c>
      <c r="D9" s="23" t="s">
        <v>187</v>
      </c>
    </row>
    <row r="10" spans="1:4" ht="57.75" customHeight="1" x14ac:dyDescent="0.3">
      <c r="A10" s="5">
        <v>6</v>
      </c>
      <c r="B10" s="40" t="s">
        <v>188</v>
      </c>
      <c r="C10" s="42" t="s">
        <v>180</v>
      </c>
      <c r="D10" s="23" t="s">
        <v>189</v>
      </c>
    </row>
    <row r="11" spans="1:4" ht="57.75" customHeight="1" x14ac:dyDescent="0.3">
      <c r="A11" s="5">
        <v>7</v>
      </c>
      <c r="B11" s="40" t="s">
        <v>190</v>
      </c>
      <c r="C11" s="42" t="s">
        <v>180</v>
      </c>
      <c r="D11" s="23" t="s">
        <v>191</v>
      </c>
    </row>
    <row r="12" spans="1:4" ht="57.75" customHeight="1" x14ac:dyDescent="0.3">
      <c r="A12" s="5">
        <v>8</v>
      </c>
      <c r="B12" s="40" t="s">
        <v>192</v>
      </c>
      <c r="C12" s="42" t="s">
        <v>180</v>
      </c>
      <c r="D12" s="23" t="s">
        <v>193</v>
      </c>
    </row>
    <row r="13" spans="1:4" ht="57.75" customHeight="1" x14ac:dyDescent="0.3">
      <c r="A13" s="5">
        <v>9</v>
      </c>
      <c r="B13" s="40" t="s">
        <v>194</v>
      </c>
      <c r="C13" s="42" t="s">
        <v>180</v>
      </c>
      <c r="D13" s="23" t="s">
        <v>195</v>
      </c>
    </row>
    <row r="14" spans="1:4" ht="57.75" customHeight="1" x14ac:dyDescent="0.3">
      <c r="A14" s="5">
        <v>10</v>
      </c>
      <c r="B14" s="40" t="s">
        <v>196</v>
      </c>
      <c r="C14" s="42" t="s">
        <v>180</v>
      </c>
      <c r="D14" s="23" t="s">
        <v>197</v>
      </c>
    </row>
    <row r="15" spans="1:4" ht="57.75" customHeight="1" x14ac:dyDescent="0.3">
      <c r="A15" s="5">
        <v>11</v>
      </c>
      <c r="B15" s="40" t="s">
        <v>198</v>
      </c>
      <c r="C15" s="42" t="s">
        <v>180</v>
      </c>
      <c r="D15" s="23" t="s">
        <v>199</v>
      </c>
    </row>
    <row r="16" spans="1:4" ht="57.75" customHeight="1" x14ac:dyDescent="0.3">
      <c r="A16" s="5">
        <v>12</v>
      </c>
      <c r="B16" s="40" t="s">
        <v>200</v>
      </c>
      <c r="C16" s="41" t="s">
        <v>201</v>
      </c>
      <c r="D16" s="23" t="s">
        <v>202</v>
      </c>
    </row>
    <row r="17" spans="1:4" ht="57.75" customHeight="1" x14ac:dyDescent="0.3">
      <c r="A17" s="5">
        <v>13</v>
      </c>
      <c r="B17" s="40" t="s">
        <v>203</v>
      </c>
      <c r="C17" s="41" t="s">
        <v>201</v>
      </c>
      <c r="D17" s="23" t="s">
        <v>204</v>
      </c>
    </row>
    <row r="18" spans="1:4" ht="57.75" customHeight="1" x14ac:dyDescent="0.3">
      <c r="A18" s="5">
        <v>14</v>
      </c>
      <c r="B18" s="40" t="s">
        <v>205</v>
      </c>
      <c r="C18" s="42" t="s">
        <v>180</v>
      </c>
      <c r="D18" s="23" t="s">
        <v>206</v>
      </c>
    </row>
    <row r="19" spans="1:4" ht="57.75" customHeight="1" x14ac:dyDescent="0.3">
      <c r="A19" s="5">
        <v>15</v>
      </c>
      <c r="B19" s="40" t="s">
        <v>207</v>
      </c>
      <c r="C19" s="41" t="s">
        <v>201</v>
      </c>
      <c r="D19" s="23" t="s">
        <v>208</v>
      </c>
    </row>
    <row r="20" spans="1:4" ht="57.75" customHeight="1" x14ac:dyDescent="0.3">
      <c r="A20" s="5">
        <v>16</v>
      </c>
      <c r="B20" s="40" t="s">
        <v>209</v>
      </c>
      <c r="C20" s="41" t="s">
        <v>201</v>
      </c>
      <c r="D20" s="23" t="s">
        <v>210</v>
      </c>
    </row>
    <row r="21" spans="1:4" ht="57.75" customHeight="1" x14ac:dyDescent="0.3">
      <c r="A21" s="5">
        <v>17</v>
      </c>
      <c r="B21" s="40" t="s">
        <v>211</v>
      </c>
      <c r="C21" s="41" t="s">
        <v>201</v>
      </c>
      <c r="D21" s="23" t="s">
        <v>212</v>
      </c>
    </row>
    <row r="22" spans="1:4" ht="57.75" customHeight="1" x14ac:dyDescent="0.3">
      <c r="A22" s="5">
        <v>18</v>
      </c>
      <c r="B22" s="40" t="s">
        <v>213</v>
      </c>
      <c r="C22" s="42" t="s">
        <v>180</v>
      </c>
      <c r="D22" s="23" t="s">
        <v>214</v>
      </c>
    </row>
    <row r="23" spans="1:4" ht="57.75" customHeight="1" x14ac:dyDescent="0.3">
      <c r="A23" s="5">
        <v>19</v>
      </c>
      <c r="B23" s="40" t="s">
        <v>215</v>
      </c>
      <c r="C23" s="42" t="s">
        <v>180</v>
      </c>
      <c r="D23" s="23" t="s">
        <v>216</v>
      </c>
    </row>
    <row r="24" spans="1:4" ht="57.75" customHeight="1" x14ac:dyDescent="0.3">
      <c r="A24" s="5">
        <v>20</v>
      </c>
      <c r="B24" s="40" t="s">
        <v>217</v>
      </c>
      <c r="C24" s="41" t="s">
        <v>201</v>
      </c>
      <c r="D24" s="23" t="s">
        <v>218</v>
      </c>
    </row>
    <row r="25" spans="1:4" ht="57.75" customHeight="1" x14ac:dyDescent="0.3">
      <c r="A25" s="5">
        <v>21</v>
      </c>
      <c r="B25" s="40" t="s">
        <v>219</v>
      </c>
      <c r="C25" s="41" t="s">
        <v>201</v>
      </c>
      <c r="D25" s="23" t="s">
        <v>220</v>
      </c>
    </row>
    <row r="26" spans="1:4" ht="57.75" customHeight="1" x14ac:dyDescent="0.3">
      <c r="A26" s="5">
        <v>22</v>
      </c>
      <c r="B26" s="40" t="s">
        <v>221</v>
      </c>
      <c r="C26" s="41" t="s">
        <v>201</v>
      </c>
      <c r="D26" s="23" t="s">
        <v>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BE05-9D03-4581-82F9-02BA004F56FA}">
  <dimension ref="A1:E122"/>
  <sheetViews>
    <sheetView topLeftCell="A49" zoomScaleNormal="100" workbookViewId="0">
      <selection activeCell="C116" sqref="C116"/>
    </sheetView>
  </sheetViews>
  <sheetFormatPr defaultRowHeight="14.4" x14ac:dyDescent="0.3"/>
  <cols>
    <col min="1" max="1" width="14.6640625" customWidth="1"/>
    <col min="2" max="2" width="57.33203125" bestFit="1" customWidth="1"/>
    <col min="3" max="3" width="22.88671875" customWidth="1"/>
    <col min="4" max="4" width="23.6640625" customWidth="1"/>
    <col min="5" max="5" width="25.109375" customWidth="1"/>
  </cols>
  <sheetData>
    <row r="1" spans="1:5" ht="17.399999999999999" x14ac:dyDescent="0.3">
      <c r="A1" s="47" t="s">
        <v>238</v>
      </c>
    </row>
    <row r="2" spans="1:5" x14ac:dyDescent="0.3">
      <c r="A2" s="48" t="s">
        <v>252</v>
      </c>
    </row>
    <row r="4" spans="1:5" x14ac:dyDescent="0.3">
      <c r="A4" s="49" t="s">
        <v>239</v>
      </c>
      <c r="B4" s="50"/>
      <c r="C4" s="143"/>
      <c r="D4" s="143"/>
      <c r="E4" s="143"/>
    </row>
    <row r="5" spans="1:5" x14ac:dyDescent="0.3">
      <c r="A5" s="52" t="s">
        <v>164</v>
      </c>
      <c r="B5" s="52" t="s">
        <v>59</v>
      </c>
      <c r="C5" s="52" t="s">
        <v>240</v>
      </c>
      <c r="D5" s="52" t="s">
        <v>255</v>
      </c>
      <c r="E5" s="52" t="s">
        <v>256</v>
      </c>
    </row>
    <row r="6" spans="1:5" x14ac:dyDescent="0.3">
      <c r="A6" s="54">
        <f>Ledger!A5</f>
        <v>43067</v>
      </c>
      <c r="B6" s="53" t="str">
        <f>Ledger!B5</f>
        <v>Aromatic Fresh Notes Investments Pty Ltd - Erf 1470 Khomasdal</v>
      </c>
      <c r="C6" s="55">
        <f>Ledger!C5</f>
        <v>-45500000</v>
      </c>
      <c r="D6" s="55">
        <f>IF(B6="Erf 1470 Khomasdal",C6,0)</f>
        <v>0</v>
      </c>
      <c r="E6" s="62">
        <f>-D6+C6</f>
        <v>-45500000</v>
      </c>
    </row>
    <row r="7" spans="1:5" x14ac:dyDescent="0.3">
      <c r="A7" s="54">
        <f>Ledger!A6</f>
        <v>43067</v>
      </c>
      <c r="B7" s="53" t="str">
        <f>Ledger!B6</f>
        <v>LIH- Nkurenkuru Ph 1</v>
      </c>
      <c r="C7" s="55">
        <f>Ledger!C6</f>
        <v>-2200000</v>
      </c>
      <c r="D7" s="55">
        <f t="shared" ref="D7:D70" si="0">IF(B7="Erf 1470 Khomasdal",C7,0)</f>
        <v>0</v>
      </c>
      <c r="E7" s="55">
        <f>-D7+C7</f>
        <v>-2200000</v>
      </c>
    </row>
    <row r="8" spans="1:5" x14ac:dyDescent="0.3">
      <c r="A8" s="54">
        <f>Ledger!A7</f>
        <v>43168</v>
      </c>
      <c r="B8" s="53" t="str">
        <f>Ledger!B7</f>
        <v>Duma Tau — Kronlein</v>
      </c>
      <c r="C8" s="55">
        <f>Ledger!C7</f>
        <v>-22000000</v>
      </c>
      <c r="D8" s="55">
        <f t="shared" si="0"/>
        <v>0</v>
      </c>
      <c r="E8" s="55">
        <f t="shared" ref="E8:E71" si="1">-D8+C8</f>
        <v>-22000000</v>
      </c>
    </row>
    <row r="9" spans="1:5" x14ac:dyDescent="0.3">
      <c r="A9" s="54">
        <f>Ledger!A8</f>
        <v>43216</v>
      </c>
      <c r="B9" s="53" t="str">
        <f>Ledger!B8</f>
        <v>MPG _ Heaven's Ark — Otjomuise Lifestyle Estate</v>
      </c>
      <c r="C9" s="55">
        <f>Ledger!C8</f>
        <v>-10000000</v>
      </c>
      <c r="D9" s="55">
        <f t="shared" si="0"/>
        <v>0</v>
      </c>
      <c r="E9" s="55">
        <f t="shared" si="1"/>
        <v>-10000000</v>
      </c>
    </row>
    <row r="10" spans="1:5" x14ac:dyDescent="0.3">
      <c r="A10" s="54">
        <f>Ledger!A9</f>
        <v>43280</v>
      </c>
      <c r="B10" s="53" t="str">
        <f>Ledger!B9</f>
        <v>LIH- Nkurenkuru Ph 1</v>
      </c>
      <c r="C10" s="55">
        <f>Ledger!C9</f>
        <v>-700000</v>
      </c>
      <c r="D10" s="55">
        <f t="shared" si="0"/>
        <v>0</v>
      </c>
      <c r="E10" s="55">
        <f t="shared" si="1"/>
        <v>-700000</v>
      </c>
    </row>
    <row r="11" spans="1:5" x14ac:dyDescent="0.3">
      <c r="A11" s="54">
        <f>Ledger!A10</f>
        <v>43304</v>
      </c>
      <c r="B11" s="53" t="str">
        <f>Ledger!B10</f>
        <v>LIH- Nkurenkuru Ph 1</v>
      </c>
      <c r="C11" s="55">
        <f>Ledger!C10</f>
        <v>-4300000</v>
      </c>
      <c r="D11" s="55">
        <f t="shared" si="0"/>
        <v>0</v>
      </c>
      <c r="E11" s="55">
        <f t="shared" si="1"/>
        <v>-4300000</v>
      </c>
    </row>
    <row r="12" spans="1:5" x14ac:dyDescent="0.3">
      <c r="A12" s="54">
        <f>Ledger!A11</f>
        <v>43322</v>
      </c>
      <c r="B12" s="53" t="str">
        <f>Ledger!B11</f>
        <v>Duma Tau — Kronlein</v>
      </c>
      <c r="C12" s="55">
        <f>Ledger!C11</f>
        <v>-6000000</v>
      </c>
      <c r="D12" s="55">
        <f t="shared" si="0"/>
        <v>0</v>
      </c>
      <c r="E12" s="55">
        <f t="shared" si="1"/>
        <v>-6000000</v>
      </c>
    </row>
    <row r="13" spans="1:5" x14ac:dyDescent="0.3">
      <c r="A13" s="54">
        <f>Ledger!A12</f>
        <v>43322</v>
      </c>
      <c r="B13" s="53" t="str">
        <f>Ledger!B12</f>
        <v>LIH- Nkurenkuru Ph 1</v>
      </c>
      <c r="C13" s="55">
        <f>Ledger!C12</f>
        <v>-5000000</v>
      </c>
      <c r="D13" s="55">
        <f t="shared" si="0"/>
        <v>0</v>
      </c>
      <c r="E13" s="55">
        <f t="shared" si="1"/>
        <v>-5000000</v>
      </c>
    </row>
    <row r="14" spans="1:5" x14ac:dyDescent="0.3">
      <c r="A14" s="54">
        <f>Ledger!A13</f>
        <v>43356</v>
      </c>
      <c r="B14" s="53" t="str">
        <f>Ledger!B13</f>
        <v>Duma Tau — Kronlein</v>
      </c>
      <c r="C14" s="55">
        <f>Ledger!C13</f>
        <v>1302000</v>
      </c>
      <c r="D14" s="55">
        <f t="shared" si="0"/>
        <v>0</v>
      </c>
      <c r="E14" s="55">
        <f t="shared" si="1"/>
        <v>1302000</v>
      </c>
    </row>
    <row r="15" spans="1:5" x14ac:dyDescent="0.3">
      <c r="A15" s="54">
        <f>Ledger!A14</f>
        <v>43362</v>
      </c>
      <c r="B15" s="53" t="str">
        <f>Ledger!B14</f>
        <v>Aromatic Fresh Notes Investments Pty Ltd - Erf 1470 Khomasdal</v>
      </c>
      <c r="C15" s="55">
        <f>Ledger!C14</f>
        <v>-1500000</v>
      </c>
      <c r="D15" s="55">
        <f t="shared" si="0"/>
        <v>0</v>
      </c>
      <c r="E15" s="55">
        <f t="shared" si="1"/>
        <v>-1500000</v>
      </c>
    </row>
    <row r="16" spans="1:5" x14ac:dyDescent="0.3">
      <c r="A16" s="54">
        <f>Ledger!A15</f>
        <v>43362</v>
      </c>
      <c r="B16" s="53" t="str">
        <f>Ledger!B15</f>
        <v>MPG _ Heaven's Ark — Otjomuise Lifestyle Estate</v>
      </c>
      <c r="C16" s="55">
        <f>Ledger!C15</f>
        <v>-1000000</v>
      </c>
      <c r="D16" s="55">
        <f t="shared" si="0"/>
        <v>0</v>
      </c>
      <c r="E16" s="55">
        <f t="shared" si="1"/>
        <v>-1000000</v>
      </c>
    </row>
    <row r="17" spans="1:5" x14ac:dyDescent="0.3">
      <c r="A17" s="54">
        <f>Ledger!A16</f>
        <v>43384</v>
      </c>
      <c r="B17" s="53" t="str">
        <f>Ledger!B16</f>
        <v>MPG _ Heaven's Ark — Otjomuise Lifestyle Estate</v>
      </c>
      <c r="C17" s="55">
        <f>Ledger!C16</f>
        <v>-10000000</v>
      </c>
      <c r="D17" s="55">
        <f t="shared" si="0"/>
        <v>0</v>
      </c>
      <c r="E17" s="55">
        <f t="shared" si="1"/>
        <v>-10000000</v>
      </c>
    </row>
    <row r="18" spans="1:5" x14ac:dyDescent="0.3">
      <c r="A18" s="54">
        <f>Ledger!A17</f>
        <v>43426</v>
      </c>
      <c r="B18" s="53" t="str">
        <f>Ledger!B17</f>
        <v>MPG _ Heaven's Ark — Otjomuise Lifestyle Estate</v>
      </c>
      <c r="C18" s="55">
        <f>Ledger!C17</f>
        <v>-9400000</v>
      </c>
      <c r="D18" s="55">
        <f t="shared" si="0"/>
        <v>0</v>
      </c>
      <c r="E18" s="55">
        <f t="shared" si="1"/>
        <v>-9400000</v>
      </c>
    </row>
    <row r="19" spans="1:5" x14ac:dyDescent="0.3">
      <c r="A19" s="54">
        <f>Ledger!A18</f>
        <v>43433</v>
      </c>
      <c r="B19" s="53" t="str">
        <f>Ledger!B18</f>
        <v>LIH- Nkurenkuru Ph 1</v>
      </c>
      <c r="C19" s="55">
        <f>Ledger!C18</f>
        <v>-2200000</v>
      </c>
      <c r="D19" s="55">
        <f t="shared" si="0"/>
        <v>0</v>
      </c>
      <c r="E19" s="55">
        <f t="shared" si="1"/>
        <v>-2200000</v>
      </c>
    </row>
    <row r="20" spans="1:5" x14ac:dyDescent="0.3">
      <c r="A20" s="54">
        <f>Ledger!A19</f>
        <v>43448</v>
      </c>
      <c r="B20" s="53" t="str">
        <f>Ledger!B19</f>
        <v>Duma Tau — Kronlein</v>
      </c>
      <c r="C20" s="55">
        <f>Ledger!C19</f>
        <v>10443745</v>
      </c>
      <c r="D20" s="55">
        <f t="shared" si="0"/>
        <v>0</v>
      </c>
      <c r="E20" s="55">
        <f t="shared" si="1"/>
        <v>10443745</v>
      </c>
    </row>
    <row r="21" spans="1:5" x14ac:dyDescent="0.3">
      <c r="A21" s="54">
        <f>Ledger!A20</f>
        <v>43476</v>
      </c>
      <c r="B21" s="53" t="str">
        <f>Ledger!B20</f>
        <v>Duma Tau — Kronlein</v>
      </c>
      <c r="C21" s="55">
        <f>Ledger!C20</f>
        <v>4425225</v>
      </c>
      <c r="D21" s="55">
        <f t="shared" si="0"/>
        <v>0</v>
      </c>
      <c r="E21" s="55">
        <f t="shared" si="1"/>
        <v>4425225</v>
      </c>
    </row>
    <row r="22" spans="1:5" x14ac:dyDescent="0.3">
      <c r="A22" s="54">
        <f>Ledger!A21</f>
        <v>43486</v>
      </c>
      <c r="B22" s="53" t="str">
        <f>Ledger!B21</f>
        <v>Aromatic Fresh Notes Investments Pty Ltd - Erf 1470 Khomasdal</v>
      </c>
      <c r="C22" s="55">
        <f>Ledger!C21</f>
        <v>-2850000</v>
      </c>
      <c r="D22" s="55">
        <f t="shared" si="0"/>
        <v>0</v>
      </c>
      <c r="E22" s="55">
        <f t="shared" si="1"/>
        <v>-2850000</v>
      </c>
    </row>
    <row r="23" spans="1:5" x14ac:dyDescent="0.3">
      <c r="A23" s="54">
        <f>Ledger!A22</f>
        <v>43486</v>
      </c>
      <c r="B23" s="53" t="str">
        <f>Ledger!B22</f>
        <v>MPG _ Heaven's Ark — Otjomuise Lifestyle Estate</v>
      </c>
      <c r="C23" s="55">
        <f>Ledger!C22</f>
        <v>-5000000</v>
      </c>
      <c r="D23" s="55">
        <f t="shared" si="0"/>
        <v>0</v>
      </c>
      <c r="E23" s="55">
        <f t="shared" si="1"/>
        <v>-5000000</v>
      </c>
    </row>
    <row r="24" spans="1:5" x14ac:dyDescent="0.3">
      <c r="A24" s="54">
        <f>Ledger!A23</f>
        <v>43494</v>
      </c>
      <c r="B24" s="53" t="str">
        <f>Ledger!B23</f>
        <v>MPG _ Heaven's Ark — Otjomuise Lifestyle Estate</v>
      </c>
      <c r="C24" s="55">
        <f>Ledger!C23</f>
        <v>-4600000</v>
      </c>
      <c r="D24" s="55">
        <f t="shared" si="0"/>
        <v>0</v>
      </c>
      <c r="E24" s="55">
        <f t="shared" si="1"/>
        <v>-4600000</v>
      </c>
    </row>
    <row r="25" spans="1:5" x14ac:dyDescent="0.3">
      <c r="A25" s="54">
        <f>Ledger!A24</f>
        <v>43503</v>
      </c>
      <c r="B25" s="53" t="str">
        <f>Ledger!B24</f>
        <v>MPG _ Heaven's Ark — Otjomuise Lifestyle Estate</v>
      </c>
      <c r="C25" s="55">
        <f>Ledger!C24</f>
        <v>-10400000</v>
      </c>
      <c r="D25" s="55">
        <f t="shared" si="0"/>
        <v>0</v>
      </c>
      <c r="E25" s="55">
        <f t="shared" si="1"/>
        <v>-10400000</v>
      </c>
    </row>
    <row r="26" spans="1:5" x14ac:dyDescent="0.3">
      <c r="A26" s="54">
        <f>Ledger!A25</f>
        <v>43524</v>
      </c>
      <c r="B26" s="53" t="str">
        <f>Ledger!B25</f>
        <v>Duma Tau — Kronlein</v>
      </c>
      <c r="C26" s="55">
        <f>Ledger!C25</f>
        <v>3242310</v>
      </c>
      <c r="D26" s="55">
        <f t="shared" si="0"/>
        <v>0</v>
      </c>
      <c r="E26" s="55">
        <f t="shared" si="1"/>
        <v>3242310</v>
      </c>
    </row>
    <row r="27" spans="1:5" x14ac:dyDescent="0.3">
      <c r="A27" s="54">
        <f>Ledger!A26</f>
        <v>43530</v>
      </c>
      <c r="B27" s="53" t="str">
        <f>Ledger!B26</f>
        <v>LIH- Nkurenkuru Ph 1</v>
      </c>
      <c r="C27" s="55">
        <f>Ledger!C26</f>
        <v>-1745000</v>
      </c>
      <c r="D27" s="55">
        <f t="shared" si="0"/>
        <v>0</v>
      </c>
      <c r="E27" s="55">
        <f t="shared" si="1"/>
        <v>-1745000</v>
      </c>
    </row>
    <row r="28" spans="1:5" x14ac:dyDescent="0.3">
      <c r="A28" s="54">
        <f>Ledger!A27</f>
        <v>43531</v>
      </c>
      <c r="B28" s="53" t="str">
        <f>Ledger!B27</f>
        <v>MPG _ Heaven's Ark — Otjomuise Lifestyle Estate</v>
      </c>
      <c r="C28" s="55">
        <f>Ledger!C27</f>
        <v>-4600000</v>
      </c>
      <c r="D28" s="55">
        <f t="shared" si="0"/>
        <v>0</v>
      </c>
      <c r="E28" s="55">
        <f t="shared" si="1"/>
        <v>-4600000</v>
      </c>
    </row>
    <row r="29" spans="1:5" x14ac:dyDescent="0.3">
      <c r="A29" s="54">
        <f>Ledger!A28</f>
        <v>43543</v>
      </c>
      <c r="B29" s="53" t="str">
        <f>Ledger!B28</f>
        <v>MPG _ Heaven's Ark — Otjomuise Lifestyle Estate</v>
      </c>
      <c r="C29" s="55">
        <f>Ledger!C28</f>
        <v>-6000000</v>
      </c>
      <c r="D29" s="55">
        <f t="shared" si="0"/>
        <v>0</v>
      </c>
      <c r="E29" s="55">
        <f t="shared" si="1"/>
        <v>-6000000</v>
      </c>
    </row>
    <row r="30" spans="1:5" x14ac:dyDescent="0.3">
      <c r="A30" s="54">
        <f>Ledger!A29</f>
        <v>43552</v>
      </c>
      <c r="B30" s="53" t="str">
        <f>Ledger!B29</f>
        <v>LIH- Nkurenkuru Ph 1</v>
      </c>
      <c r="C30" s="55">
        <f>Ledger!C29</f>
        <v>-1855000</v>
      </c>
      <c r="D30" s="55">
        <f t="shared" si="0"/>
        <v>0</v>
      </c>
      <c r="E30" s="55">
        <f t="shared" si="1"/>
        <v>-1855000</v>
      </c>
    </row>
    <row r="31" spans="1:5" x14ac:dyDescent="0.3">
      <c r="A31" s="54">
        <f>Ledger!A30</f>
        <v>43553</v>
      </c>
      <c r="B31" s="53" t="str">
        <f>Ledger!B30</f>
        <v>Duma Tau — Kronlein</v>
      </c>
      <c r="C31" s="55">
        <f>Ledger!C30</f>
        <v>4087330</v>
      </c>
      <c r="D31" s="55">
        <f t="shared" si="0"/>
        <v>0</v>
      </c>
      <c r="E31" s="55">
        <f t="shared" si="1"/>
        <v>4087330</v>
      </c>
    </row>
    <row r="32" spans="1:5" x14ac:dyDescent="0.3">
      <c r="A32" s="54">
        <f>Ledger!A31</f>
        <v>43585</v>
      </c>
      <c r="B32" s="53" t="str">
        <f>Ledger!B31</f>
        <v>Duma Tau — Kronlein</v>
      </c>
      <c r="C32" s="55">
        <f>Ledger!C31</f>
        <v>1923105</v>
      </c>
      <c r="D32" s="55">
        <f t="shared" si="0"/>
        <v>0</v>
      </c>
      <c r="E32" s="55">
        <f t="shared" si="1"/>
        <v>1923105</v>
      </c>
    </row>
    <row r="33" spans="1:5" x14ac:dyDescent="0.3">
      <c r="A33" s="54">
        <f>Ledger!A32</f>
        <v>43598</v>
      </c>
      <c r="B33" s="53" t="str">
        <f>Ledger!B32</f>
        <v>Duma Tau — Kronlein</v>
      </c>
      <c r="C33" s="55">
        <f>Ledger!C32</f>
        <v>679120</v>
      </c>
      <c r="D33" s="55">
        <f t="shared" si="0"/>
        <v>0</v>
      </c>
      <c r="E33" s="55">
        <f t="shared" si="1"/>
        <v>679120</v>
      </c>
    </row>
    <row r="34" spans="1:5" x14ac:dyDescent="0.3">
      <c r="A34" s="54">
        <f>Ledger!A33</f>
        <v>43598</v>
      </c>
      <c r="B34" s="53" t="str">
        <f>Ledger!B33</f>
        <v>MPG _ Heaven's Ark — Otjomuise Lifestyle Estate</v>
      </c>
      <c r="C34" s="55">
        <f>Ledger!C33</f>
        <v>-4000000</v>
      </c>
      <c r="D34" s="55">
        <f t="shared" si="0"/>
        <v>0</v>
      </c>
      <c r="E34" s="55">
        <f t="shared" si="1"/>
        <v>-4000000</v>
      </c>
    </row>
    <row r="35" spans="1:5" x14ac:dyDescent="0.3">
      <c r="A35" s="54">
        <f>Ledger!A34</f>
        <v>43598</v>
      </c>
      <c r="B35" s="53" t="str">
        <f>Ledger!B34</f>
        <v>LIH- Nkurenkuru Ph 1</v>
      </c>
      <c r="C35" s="55">
        <f>Ledger!C34</f>
        <v>998970.04</v>
      </c>
      <c r="D35" s="55">
        <f t="shared" si="0"/>
        <v>0</v>
      </c>
      <c r="E35" s="55">
        <f t="shared" si="1"/>
        <v>998970.04</v>
      </c>
    </row>
    <row r="36" spans="1:5" x14ac:dyDescent="0.3">
      <c r="A36" s="54">
        <f>Ledger!A35</f>
        <v>43643</v>
      </c>
      <c r="B36" s="53" t="str">
        <f>Ledger!B35</f>
        <v>Duma Tau — Kronlein</v>
      </c>
      <c r="C36" s="55">
        <f>Ledger!C35</f>
        <v>2368545</v>
      </c>
      <c r="D36" s="55">
        <f t="shared" si="0"/>
        <v>0</v>
      </c>
      <c r="E36" s="55">
        <f t="shared" si="1"/>
        <v>2368545</v>
      </c>
    </row>
    <row r="37" spans="1:5" x14ac:dyDescent="0.3">
      <c r="A37" s="54">
        <f>Ledger!A36</f>
        <v>43643</v>
      </c>
      <c r="B37" s="53" t="str">
        <f>Ledger!B36</f>
        <v>Duma Tau — Kronlein</v>
      </c>
      <c r="C37" s="55">
        <f>Ledger!C36</f>
        <v>-3191939.24</v>
      </c>
      <c r="D37" s="55">
        <f t="shared" si="0"/>
        <v>0</v>
      </c>
      <c r="E37" s="55">
        <f t="shared" si="1"/>
        <v>-3191939.24</v>
      </c>
    </row>
    <row r="38" spans="1:5" x14ac:dyDescent="0.3">
      <c r="A38" s="54">
        <f>Ledger!A37</f>
        <v>43643</v>
      </c>
      <c r="B38" s="53" t="str">
        <f>Ledger!B37</f>
        <v>LIH- Nkurenkuru Ph 1</v>
      </c>
      <c r="C38" s="55">
        <f>Ledger!C37</f>
        <v>-1076405.04</v>
      </c>
      <c r="D38" s="55">
        <f t="shared" si="0"/>
        <v>0</v>
      </c>
      <c r="E38" s="55">
        <f t="shared" si="1"/>
        <v>-1076405.04</v>
      </c>
    </row>
    <row r="39" spans="1:5" x14ac:dyDescent="0.3">
      <c r="A39" s="54">
        <f>Ledger!A38</f>
        <v>43643</v>
      </c>
      <c r="B39" s="53" t="str">
        <f>Ledger!B38</f>
        <v>LIH- Nkurenkuru Ph 1</v>
      </c>
      <c r="C39" s="55">
        <f>Ledger!C38</f>
        <v>3048706.28</v>
      </c>
      <c r="D39" s="55">
        <f t="shared" si="0"/>
        <v>0</v>
      </c>
      <c r="E39" s="55">
        <f t="shared" si="1"/>
        <v>3048706.28</v>
      </c>
    </row>
    <row r="40" spans="1:5" x14ac:dyDescent="0.3">
      <c r="A40" s="54">
        <f>Ledger!A39</f>
        <v>43677</v>
      </c>
      <c r="B40" s="53" t="str">
        <f>Ledger!B39</f>
        <v>Duma Tau — Kronlein</v>
      </c>
      <c r="C40" s="55">
        <f>Ledger!C39</f>
        <v>-2000000</v>
      </c>
      <c r="D40" s="55">
        <f t="shared" si="0"/>
        <v>0</v>
      </c>
      <c r="E40" s="55">
        <f t="shared" si="1"/>
        <v>-2000000</v>
      </c>
    </row>
    <row r="41" spans="1:5" x14ac:dyDescent="0.3">
      <c r="A41" s="54">
        <f>Ledger!A40</f>
        <v>43677</v>
      </c>
      <c r="B41" s="53" t="str">
        <f>Ledger!B40</f>
        <v>Duma Tau — Kronlein</v>
      </c>
      <c r="C41" s="55">
        <f>Ledger!C40</f>
        <v>450000</v>
      </c>
      <c r="D41" s="55">
        <f t="shared" si="0"/>
        <v>0</v>
      </c>
      <c r="E41" s="55">
        <f t="shared" si="1"/>
        <v>450000</v>
      </c>
    </row>
    <row r="42" spans="1:5" x14ac:dyDescent="0.3">
      <c r="A42" s="54">
        <f>Ledger!A41</f>
        <v>43677</v>
      </c>
      <c r="B42" s="53" t="str">
        <f>Ledger!B41</f>
        <v>Aromatic Fresh Notes Investments Pty Ltd - Erf 1470 Khomasdal</v>
      </c>
      <c r="C42" s="55">
        <f>Ledger!C41</f>
        <v>-1000000</v>
      </c>
      <c r="D42" s="55">
        <f t="shared" si="0"/>
        <v>0</v>
      </c>
      <c r="E42" s="55">
        <f t="shared" si="1"/>
        <v>-1000000</v>
      </c>
    </row>
    <row r="43" spans="1:5" x14ac:dyDescent="0.3">
      <c r="A43" s="54">
        <f>Ledger!A42</f>
        <v>43677</v>
      </c>
      <c r="B43" s="53" t="str">
        <f>Ledger!B42</f>
        <v>Aromatic Fresh Notes Investments Pty Ltd - Erf 1470 Khomasdal</v>
      </c>
      <c r="C43" s="55">
        <f>Ledger!C42</f>
        <v>-450000</v>
      </c>
      <c r="D43" s="55">
        <f t="shared" si="0"/>
        <v>0</v>
      </c>
      <c r="E43" s="55">
        <f t="shared" si="1"/>
        <v>-450000</v>
      </c>
    </row>
    <row r="44" spans="1:5" x14ac:dyDescent="0.3">
      <c r="A44" s="54">
        <f>Ledger!A43</f>
        <v>43711</v>
      </c>
      <c r="B44" s="53" t="str">
        <f>Ledger!B43</f>
        <v>Duma Tau — Kronlein</v>
      </c>
      <c r="C44" s="55">
        <f>Ledger!C43</f>
        <v>450000</v>
      </c>
      <c r="D44" s="55">
        <f t="shared" si="0"/>
        <v>0</v>
      </c>
      <c r="E44" s="55">
        <f t="shared" si="1"/>
        <v>450000</v>
      </c>
    </row>
    <row r="45" spans="1:5" x14ac:dyDescent="0.3">
      <c r="A45" s="54">
        <f>Ledger!A44</f>
        <v>43711</v>
      </c>
      <c r="B45" s="53" t="str">
        <f>Ledger!B44</f>
        <v>Aromatic Fresh Notes Investments Pty Ltd - Erf 1470 Khomasdal</v>
      </c>
      <c r="C45" s="55">
        <f>Ledger!C44</f>
        <v>-450000</v>
      </c>
      <c r="D45" s="55">
        <f t="shared" si="0"/>
        <v>0</v>
      </c>
      <c r="E45" s="55">
        <f t="shared" si="1"/>
        <v>-450000</v>
      </c>
    </row>
    <row r="46" spans="1:5" x14ac:dyDescent="0.3">
      <c r="A46" s="54">
        <f>Ledger!A45</f>
        <v>43724</v>
      </c>
      <c r="B46" s="53" t="str">
        <f>Ledger!B45</f>
        <v>Duma Tau — Kronlein</v>
      </c>
      <c r="C46" s="55">
        <f>Ledger!C45</f>
        <v>2819720</v>
      </c>
      <c r="D46" s="55">
        <f t="shared" si="0"/>
        <v>0</v>
      </c>
      <c r="E46" s="55">
        <f t="shared" si="1"/>
        <v>2819720</v>
      </c>
    </row>
    <row r="47" spans="1:5" x14ac:dyDescent="0.3">
      <c r="A47" s="54">
        <f>Ledger!A46</f>
        <v>43724</v>
      </c>
      <c r="B47" s="53" t="str">
        <f>Ledger!B46</f>
        <v>Aromatic Fresh Notes Investments Pty Ltd - Erf 1470 Khomasdal</v>
      </c>
      <c r="C47" s="55">
        <f>Ledger!C46</f>
        <v>-3673595</v>
      </c>
      <c r="D47" s="55">
        <f t="shared" si="0"/>
        <v>0</v>
      </c>
      <c r="E47" s="55">
        <f t="shared" si="1"/>
        <v>-3673595</v>
      </c>
    </row>
    <row r="48" spans="1:5" x14ac:dyDescent="0.3">
      <c r="A48" s="54">
        <f>Ledger!A47</f>
        <v>43724</v>
      </c>
      <c r="B48" s="53" t="str">
        <f>Ledger!B47</f>
        <v>LIH- Nkurenkuru Ph 1</v>
      </c>
      <c r="C48" s="55">
        <f>Ledger!C47</f>
        <v>853874.94</v>
      </c>
      <c r="D48" s="55">
        <f t="shared" si="0"/>
        <v>0</v>
      </c>
      <c r="E48" s="55">
        <f t="shared" si="1"/>
        <v>853874.94</v>
      </c>
    </row>
    <row r="49" spans="1:5" x14ac:dyDescent="0.3">
      <c r="A49" s="54">
        <f>Ledger!A48</f>
        <v>43752</v>
      </c>
      <c r="B49" s="53" t="str">
        <f>Ledger!B48</f>
        <v>Duma Tau — Kronlein</v>
      </c>
      <c r="C49" s="55">
        <f>Ledger!C48</f>
        <v>-1917460</v>
      </c>
      <c r="D49" s="55">
        <f t="shared" si="0"/>
        <v>0</v>
      </c>
      <c r="E49" s="55">
        <f t="shared" si="1"/>
        <v>-1917460</v>
      </c>
    </row>
    <row r="50" spans="1:5" x14ac:dyDescent="0.3">
      <c r="A50" s="54">
        <f>Ledger!A49</f>
        <v>43752</v>
      </c>
      <c r="B50" s="53" t="str">
        <f>Ledger!B49</f>
        <v>MPG _ Heaven's Ark — Otjomuise Lifestyle Estate</v>
      </c>
      <c r="C50" s="55">
        <f>Ledger!C49</f>
        <v>4000000</v>
      </c>
      <c r="D50" s="55">
        <f t="shared" si="0"/>
        <v>0</v>
      </c>
      <c r="E50" s="55">
        <f t="shared" si="1"/>
        <v>4000000</v>
      </c>
    </row>
    <row r="51" spans="1:5" x14ac:dyDescent="0.3">
      <c r="A51" s="54">
        <f>Ledger!A50</f>
        <v>43752</v>
      </c>
      <c r="B51" s="53" t="str">
        <f>Ledger!B50</f>
        <v>LIH- Nkurenkuru Ph 1</v>
      </c>
      <c r="C51" s="55">
        <f>Ledger!C50</f>
        <v>1945790.17</v>
      </c>
      <c r="D51" s="55">
        <f t="shared" si="0"/>
        <v>0</v>
      </c>
      <c r="E51" s="55">
        <f t="shared" si="1"/>
        <v>1945790.17</v>
      </c>
    </row>
    <row r="52" spans="1:5" x14ac:dyDescent="0.3">
      <c r="A52" s="54">
        <f>Ledger!A51</f>
        <v>43817</v>
      </c>
      <c r="B52" s="53" t="str">
        <f>Ledger!B51</f>
        <v>Duma Tau — Kronlein</v>
      </c>
      <c r="C52" s="55">
        <f>Ledger!C51</f>
        <v>-1000000</v>
      </c>
      <c r="D52" s="55">
        <f t="shared" si="0"/>
        <v>0</v>
      </c>
      <c r="E52" s="55">
        <f t="shared" si="1"/>
        <v>-1000000</v>
      </c>
    </row>
    <row r="53" spans="1:5" x14ac:dyDescent="0.3">
      <c r="A53" s="54">
        <f>Ledger!A52</f>
        <v>43817</v>
      </c>
      <c r="B53" s="53" t="str">
        <f>Ledger!B52</f>
        <v>MPG _ Heaven's Ark — Otjomuise Lifestyle Estate</v>
      </c>
      <c r="C53" s="55">
        <f>Ledger!C52</f>
        <v>38288179.109999999</v>
      </c>
      <c r="D53" s="55">
        <f t="shared" si="0"/>
        <v>0</v>
      </c>
      <c r="E53" s="55">
        <f t="shared" si="1"/>
        <v>38288179.109999999</v>
      </c>
    </row>
    <row r="54" spans="1:5" x14ac:dyDescent="0.3">
      <c r="A54" s="54">
        <f>Ledger!A53</f>
        <v>43861</v>
      </c>
      <c r="B54" s="53" t="str">
        <f>Ledger!B53</f>
        <v>MPG _ Heaven's Ark — Otjomuise Lifestyle Estate</v>
      </c>
      <c r="C54" s="55">
        <f>Ledger!C53</f>
        <v>5747034.3099999996</v>
      </c>
      <c r="D54" s="55">
        <f t="shared" si="0"/>
        <v>0</v>
      </c>
      <c r="E54" s="55">
        <f t="shared" si="1"/>
        <v>5747034.3099999996</v>
      </c>
    </row>
    <row r="55" spans="1:5" x14ac:dyDescent="0.3">
      <c r="A55" s="54">
        <f>Ledger!A54</f>
        <v>43861</v>
      </c>
      <c r="B55" s="53" t="str">
        <f>Ledger!B54</f>
        <v>LIH- Nkurenkuru Ph 1</v>
      </c>
      <c r="C55" s="55">
        <f>Ledger!C54</f>
        <v>2480910.0099999998</v>
      </c>
      <c r="D55" s="55">
        <f t="shared" si="0"/>
        <v>0</v>
      </c>
      <c r="E55" s="55">
        <f t="shared" si="1"/>
        <v>2480910.0099999998</v>
      </c>
    </row>
    <row r="56" spans="1:5" x14ac:dyDescent="0.3">
      <c r="A56" s="54">
        <f>Ledger!A55</f>
        <v>43916</v>
      </c>
      <c r="B56" s="53" t="str">
        <f>Ledger!B55</f>
        <v>Aromatic Fresh Notes Investments Pty Ltd - Erf 1470 Khomasdal</v>
      </c>
      <c r="C56" s="55">
        <f>Ledger!C55</f>
        <v>-7000000</v>
      </c>
      <c r="D56" s="55">
        <f t="shared" si="0"/>
        <v>0</v>
      </c>
      <c r="E56" s="55">
        <f t="shared" si="1"/>
        <v>-7000000</v>
      </c>
    </row>
    <row r="57" spans="1:5" x14ac:dyDescent="0.3">
      <c r="A57" s="54">
        <f>Ledger!A56</f>
        <v>43916</v>
      </c>
      <c r="B57" s="53" t="str">
        <f>Ledger!B56</f>
        <v>MPG _ Heaven's Ark — Otjomuise Lifestyle Estate</v>
      </c>
      <c r="C57" s="55">
        <f>Ledger!C56</f>
        <v>3169354.38</v>
      </c>
      <c r="D57" s="55">
        <f t="shared" si="0"/>
        <v>0</v>
      </c>
      <c r="E57" s="55">
        <f t="shared" si="1"/>
        <v>3169354.38</v>
      </c>
    </row>
    <row r="58" spans="1:5" x14ac:dyDescent="0.3">
      <c r="A58" s="54">
        <f>Ledger!A57</f>
        <v>43916</v>
      </c>
      <c r="B58" s="53" t="str">
        <f>Ledger!B57</f>
        <v>LIH- Nkurenkuru Ph 1</v>
      </c>
      <c r="C58" s="55">
        <f>Ledger!C57</f>
        <v>1988729.65</v>
      </c>
      <c r="D58" s="55">
        <f t="shared" si="0"/>
        <v>0</v>
      </c>
      <c r="E58" s="55">
        <f t="shared" si="1"/>
        <v>1988729.65</v>
      </c>
    </row>
    <row r="59" spans="1:5" x14ac:dyDescent="0.3">
      <c r="A59" s="54">
        <f>Ledger!A58</f>
        <v>43921</v>
      </c>
      <c r="B59" s="53" t="str">
        <f>Ledger!B58</f>
        <v>MPG _ Heaven's Ark — Otjomuise Lifestyle Estate</v>
      </c>
      <c r="C59" s="55">
        <f>Ledger!C58</f>
        <v>17154800</v>
      </c>
      <c r="D59" s="55">
        <f t="shared" si="0"/>
        <v>0</v>
      </c>
      <c r="E59" s="55">
        <f t="shared" si="1"/>
        <v>17154800</v>
      </c>
    </row>
    <row r="60" spans="1:5" x14ac:dyDescent="0.3">
      <c r="A60" s="54">
        <f>Ledger!A59</f>
        <v>44075</v>
      </c>
      <c r="B60" s="53" t="str">
        <f>Ledger!B59</f>
        <v>LIH- Nkurenkuru Ph 1</v>
      </c>
      <c r="C60" s="55">
        <f>Ledger!C59</f>
        <v>7609365.8300000001</v>
      </c>
      <c r="D60" s="55">
        <f t="shared" si="0"/>
        <v>0</v>
      </c>
      <c r="E60" s="55">
        <f t="shared" si="1"/>
        <v>7609365.8300000001</v>
      </c>
    </row>
    <row r="61" spans="1:5" x14ac:dyDescent="0.3">
      <c r="A61" s="54">
        <f>Ledger!A60</f>
        <v>44118</v>
      </c>
      <c r="B61" s="53" t="str">
        <f>Ledger!B60</f>
        <v>LIH- Nkurenkuru Ph 1</v>
      </c>
      <c r="C61" s="55">
        <f>Ledger!C60</f>
        <v>948648</v>
      </c>
      <c r="D61" s="55">
        <f t="shared" si="0"/>
        <v>0</v>
      </c>
      <c r="E61" s="55">
        <f t="shared" si="1"/>
        <v>948648</v>
      </c>
    </row>
    <row r="62" spans="1:5" x14ac:dyDescent="0.3">
      <c r="A62" s="54">
        <f>Ledger!A61</f>
        <v>44265</v>
      </c>
      <c r="B62" s="53" t="str">
        <f>Ledger!B61</f>
        <v>Duma Tau — Kronlein</v>
      </c>
      <c r="C62" s="55">
        <f>Ledger!C61</f>
        <v>3798648.74</v>
      </c>
      <c r="D62" s="55">
        <f t="shared" si="0"/>
        <v>0</v>
      </c>
      <c r="E62" s="55">
        <f t="shared" si="1"/>
        <v>3798648.74</v>
      </c>
    </row>
    <row r="63" spans="1:5" x14ac:dyDescent="0.3">
      <c r="A63" s="54">
        <f>Ledger!A62</f>
        <v>44265</v>
      </c>
      <c r="B63" s="53" t="str">
        <f>Ledger!B62</f>
        <v>MPG _ Heaven's Ark — Otjomuise Lifestyle Estate</v>
      </c>
      <c r="C63" s="55">
        <f>Ledger!C62</f>
        <v>7240475.3200000003</v>
      </c>
      <c r="D63" s="55">
        <f t="shared" si="0"/>
        <v>0</v>
      </c>
      <c r="E63" s="55">
        <f t="shared" si="1"/>
        <v>7240475.3200000003</v>
      </c>
    </row>
    <row r="64" spans="1:5" x14ac:dyDescent="0.3">
      <c r="A64" s="54">
        <f>Ledger!A63</f>
        <v>44265</v>
      </c>
      <c r="B64" s="53" t="str">
        <f>Ledger!B63</f>
        <v>LIH- Nkurenkuru Ph 1</v>
      </c>
      <c r="C64" s="55">
        <f>Ledger!C63</f>
        <v>954998.58</v>
      </c>
      <c r="D64" s="55">
        <f t="shared" si="0"/>
        <v>0</v>
      </c>
      <c r="E64" s="55">
        <f t="shared" si="1"/>
        <v>954998.58</v>
      </c>
    </row>
    <row r="65" spans="1:5" x14ac:dyDescent="0.3">
      <c r="A65" s="54">
        <f>Ledger!A64</f>
        <v>44301</v>
      </c>
      <c r="B65" s="53" t="str">
        <f>Ledger!B64</f>
        <v>Aromatic Fresh Notes Investments Pty Ltd - Erf 1470 Khomasdal</v>
      </c>
      <c r="C65" s="55">
        <f>Ledger!C64</f>
        <v>11099288.4</v>
      </c>
      <c r="D65" s="55">
        <f t="shared" si="0"/>
        <v>0</v>
      </c>
      <c r="E65" s="55">
        <f t="shared" si="1"/>
        <v>11099288.4</v>
      </c>
    </row>
    <row r="66" spans="1:5" x14ac:dyDescent="0.3">
      <c r="A66" s="54">
        <f>Ledger!A65</f>
        <v>44385</v>
      </c>
      <c r="B66" s="53" t="str">
        <f>Ledger!B65</f>
        <v>Aromatic Fresh Notes Investments Pty Ltd - Erf 1470 Khomasdal</v>
      </c>
      <c r="C66" s="55">
        <f>Ledger!C65</f>
        <v>9000000</v>
      </c>
      <c r="D66" s="55">
        <f t="shared" si="0"/>
        <v>0</v>
      </c>
      <c r="E66" s="55">
        <f t="shared" si="1"/>
        <v>9000000</v>
      </c>
    </row>
    <row r="67" spans="1:5" x14ac:dyDescent="0.3">
      <c r="A67" s="54">
        <f>Ledger!A66</f>
        <v>44385</v>
      </c>
      <c r="B67" s="53" t="str">
        <f>Ledger!B66</f>
        <v>LIH- Nkurenkuru Ph 1</v>
      </c>
      <c r="C67" s="55">
        <f>Ledger!C66</f>
        <v>476082</v>
      </c>
      <c r="D67" s="55">
        <f t="shared" si="0"/>
        <v>0</v>
      </c>
      <c r="E67" s="55">
        <f t="shared" si="1"/>
        <v>476082</v>
      </c>
    </row>
    <row r="68" spans="1:5" x14ac:dyDescent="0.3">
      <c r="A68" s="54">
        <f>Ledger!A67</f>
        <v>44455</v>
      </c>
      <c r="B68" s="53" t="str">
        <f>Ledger!B67</f>
        <v>Duma Tau — Kronlein</v>
      </c>
      <c r="C68" s="55">
        <f>Ledger!C67</f>
        <v>1152462.5</v>
      </c>
      <c r="D68" s="55">
        <f t="shared" si="0"/>
        <v>0</v>
      </c>
      <c r="E68" s="55">
        <f t="shared" si="1"/>
        <v>1152462.5</v>
      </c>
    </row>
    <row r="69" spans="1:5" x14ac:dyDescent="0.3">
      <c r="A69" s="54">
        <f>Ledger!A68</f>
        <v>44455</v>
      </c>
      <c r="B69" s="53" t="str">
        <f>Ledger!B68</f>
        <v>Aromatic Fresh Notes Investments Pty Ltd - Erf 1470 Khomasdal</v>
      </c>
      <c r="C69" s="55">
        <f>Ledger!C68</f>
        <v>8965058</v>
      </c>
      <c r="D69" s="55">
        <f t="shared" si="0"/>
        <v>0</v>
      </c>
      <c r="E69" s="55">
        <f t="shared" si="1"/>
        <v>8965058</v>
      </c>
    </row>
    <row r="70" spans="1:5" x14ac:dyDescent="0.3">
      <c r="A70" s="54">
        <f>Ledger!A69</f>
        <v>44511</v>
      </c>
      <c r="B70" s="53" t="str">
        <f>Ledger!B69</f>
        <v>Duma Tau — Kronlein</v>
      </c>
      <c r="C70" s="55">
        <f>Ledger!C69</f>
        <v>737907.5</v>
      </c>
      <c r="D70" s="55">
        <f t="shared" si="0"/>
        <v>0</v>
      </c>
      <c r="E70" s="55">
        <f t="shared" si="1"/>
        <v>737907.5</v>
      </c>
    </row>
    <row r="71" spans="1:5" x14ac:dyDescent="0.3">
      <c r="A71" s="54">
        <f>Ledger!A70</f>
        <v>44511</v>
      </c>
      <c r="B71" s="53" t="str">
        <f>Ledger!B70</f>
        <v>Aromatic Fresh Notes Investments Pty Ltd - Erf 1470 Khomasdal</v>
      </c>
      <c r="C71" s="55">
        <f>Ledger!C70</f>
        <v>6875267.0199999996</v>
      </c>
      <c r="D71" s="55">
        <f t="shared" ref="D71:D111" si="2">IF(B71="Erf 1470 Khomasdal",C71,0)</f>
        <v>0</v>
      </c>
      <c r="E71" s="55">
        <f t="shared" si="1"/>
        <v>6875267.0199999996</v>
      </c>
    </row>
    <row r="72" spans="1:5" x14ac:dyDescent="0.3">
      <c r="A72" s="54">
        <f>Ledger!A71</f>
        <v>44551</v>
      </c>
      <c r="B72" s="53" t="str">
        <f>Ledger!B71</f>
        <v>Duma Tau — Kronlein</v>
      </c>
      <c r="C72" s="55">
        <f>Ledger!C71</f>
        <v>3481490.1</v>
      </c>
      <c r="D72" s="55">
        <f t="shared" si="2"/>
        <v>0</v>
      </c>
      <c r="E72" s="55">
        <f t="shared" ref="E72:E111" si="3">-D72+C72</f>
        <v>3481490.1</v>
      </c>
    </row>
    <row r="73" spans="1:5" x14ac:dyDescent="0.3">
      <c r="A73" s="54">
        <f>Ledger!A72</f>
        <v>44551</v>
      </c>
      <c r="B73" s="53" t="str">
        <f>Ledger!B72</f>
        <v>Aromatic Fresh Notes Investments Pty Ltd - Erf 1470 Khomasdal</v>
      </c>
      <c r="C73" s="55">
        <f>Ledger!C72</f>
        <v>1093777.6599999999</v>
      </c>
      <c r="D73" s="55">
        <f t="shared" si="2"/>
        <v>0</v>
      </c>
      <c r="E73" s="55">
        <f t="shared" si="3"/>
        <v>1093777.6599999999</v>
      </c>
    </row>
    <row r="74" spans="1:5" x14ac:dyDescent="0.3">
      <c r="A74" s="54">
        <f>Ledger!A73</f>
        <v>44708</v>
      </c>
      <c r="B74" s="53" t="str">
        <f>Ledger!B73</f>
        <v>Lithon Developers - Nkurenkuru Ext 2</v>
      </c>
      <c r="C74" s="55">
        <f>Ledger!C73</f>
        <v>-5500000</v>
      </c>
      <c r="D74" s="55">
        <f t="shared" si="2"/>
        <v>0</v>
      </c>
      <c r="E74" s="55">
        <f t="shared" si="3"/>
        <v>-5500000</v>
      </c>
    </row>
    <row r="75" spans="1:5" x14ac:dyDescent="0.3">
      <c r="A75" s="54">
        <f>Ledger!A74</f>
        <v>44804</v>
      </c>
      <c r="B75" s="53" t="str">
        <f>Ledger!B74</f>
        <v>NIC - Otjomuise Ext 10</v>
      </c>
      <c r="C75" s="55">
        <f>Ledger!C74</f>
        <v>-7000000</v>
      </c>
      <c r="D75" s="55">
        <f t="shared" si="2"/>
        <v>0</v>
      </c>
      <c r="E75" s="55">
        <f t="shared" si="3"/>
        <v>-7000000</v>
      </c>
    </row>
    <row r="76" spans="1:5" x14ac:dyDescent="0.3">
      <c r="A76" s="54">
        <f>Ledger!A75</f>
        <v>45043</v>
      </c>
      <c r="B76" s="53" t="str">
        <f>Ledger!B75</f>
        <v>Duma Tau — Kronlein</v>
      </c>
      <c r="C76" s="55">
        <f>Ledger!C75</f>
        <v>694476.87</v>
      </c>
      <c r="D76" s="55">
        <f t="shared" si="2"/>
        <v>0</v>
      </c>
      <c r="E76" s="55">
        <f t="shared" si="3"/>
        <v>694476.87</v>
      </c>
    </row>
    <row r="77" spans="1:5" x14ac:dyDescent="0.3">
      <c r="A77" s="54">
        <f>Ledger!A76</f>
        <v>45043</v>
      </c>
      <c r="B77" s="53" t="str">
        <f>Ledger!B76</f>
        <v>NIC - Otjomuise Ext 10</v>
      </c>
      <c r="C77" s="55">
        <f>Ledger!C76</f>
        <v>6288799.3899999997</v>
      </c>
      <c r="D77" s="55">
        <f t="shared" si="2"/>
        <v>0</v>
      </c>
      <c r="E77" s="55">
        <f t="shared" si="3"/>
        <v>6288799.3899999997</v>
      </c>
    </row>
    <row r="78" spans="1:5" x14ac:dyDescent="0.3">
      <c r="A78" s="54">
        <f>Ledger!A77</f>
        <v>45089</v>
      </c>
      <c r="B78" s="53" t="str">
        <f>Ledger!B77</f>
        <v>Duma Tau — Kronlein</v>
      </c>
      <c r="C78" s="55">
        <f>Ledger!C77</f>
        <v>451182.19</v>
      </c>
      <c r="D78" s="55">
        <f t="shared" si="2"/>
        <v>0</v>
      </c>
      <c r="E78" s="55">
        <f t="shared" si="3"/>
        <v>451182.19</v>
      </c>
    </row>
    <row r="79" spans="1:5" x14ac:dyDescent="0.3">
      <c r="A79" s="54">
        <f>Ledger!A78</f>
        <v>45089</v>
      </c>
      <c r="B79" s="53" t="str">
        <f>Ledger!B78</f>
        <v>NIC - Otjomuise Ext 10</v>
      </c>
      <c r="C79" s="55">
        <f>Ledger!C78</f>
        <v>1064625.1000000001</v>
      </c>
      <c r="D79" s="55">
        <f t="shared" si="2"/>
        <v>0</v>
      </c>
      <c r="E79" s="55">
        <f t="shared" si="3"/>
        <v>1064625.1000000001</v>
      </c>
    </row>
    <row r="80" spans="1:5" x14ac:dyDescent="0.3">
      <c r="A80" s="54">
        <f>Ledger!A79</f>
        <v>45160</v>
      </c>
      <c r="B80" s="53" t="str">
        <f>Ledger!B79</f>
        <v xml:space="preserve">Damask Dunescape Villas </v>
      </c>
      <c r="C80" s="55">
        <f>Ledger!C79</f>
        <v>-6000000</v>
      </c>
      <c r="D80" s="55">
        <f t="shared" si="2"/>
        <v>0</v>
      </c>
      <c r="E80" s="55">
        <f t="shared" si="3"/>
        <v>-6000000</v>
      </c>
    </row>
    <row r="81" spans="1:5" x14ac:dyDescent="0.3">
      <c r="A81" s="54">
        <f>Ledger!A80</f>
        <v>45224</v>
      </c>
      <c r="B81" s="53" t="str">
        <f>Ledger!B80</f>
        <v xml:space="preserve">Mossy Wood Notes Investments-  Turnstone Villas </v>
      </c>
      <c r="C81" s="55">
        <f>Ledger!C80</f>
        <v>-2500000</v>
      </c>
      <c r="D81" s="55">
        <f t="shared" si="2"/>
        <v>0</v>
      </c>
      <c r="E81" s="55">
        <f t="shared" si="3"/>
        <v>-2500000</v>
      </c>
    </row>
    <row r="82" spans="1:5" x14ac:dyDescent="0.3">
      <c r="A82" s="54">
        <f>Ledger!A81</f>
        <v>45237</v>
      </c>
      <c r="B82" s="53" t="str">
        <f>Ledger!B81</f>
        <v>Aromatic Fresh Notes Investments Pty Ltd - Erf 1470 Khomasdal</v>
      </c>
      <c r="C82" s="55">
        <f>Ledger!C81</f>
        <v>-4675000</v>
      </c>
      <c r="D82" s="55">
        <f t="shared" si="2"/>
        <v>0</v>
      </c>
      <c r="E82" s="55">
        <f t="shared" si="3"/>
        <v>-4675000</v>
      </c>
    </row>
    <row r="83" spans="1:5" x14ac:dyDescent="0.3">
      <c r="A83" s="54">
        <f>Ledger!A82</f>
        <v>45369</v>
      </c>
      <c r="B83" s="53" t="str">
        <f>Ledger!B82</f>
        <v>Aromatic Fresh Notes Investments Pty Ltd - Erf 1470 Khomasdal</v>
      </c>
      <c r="C83" s="55">
        <f>Ledger!C82</f>
        <v>-5000000</v>
      </c>
      <c r="D83" s="55">
        <f t="shared" si="2"/>
        <v>0</v>
      </c>
      <c r="E83" s="55">
        <f t="shared" si="3"/>
        <v>-5000000</v>
      </c>
    </row>
    <row r="84" spans="1:5" x14ac:dyDescent="0.3">
      <c r="A84" s="54">
        <f>Ledger!A83</f>
        <v>45463</v>
      </c>
      <c r="B84" s="53" t="str">
        <f>Ledger!B83</f>
        <v xml:space="preserve">Damask Dunescape Villas </v>
      </c>
      <c r="C84" s="55">
        <f>Ledger!C83</f>
        <v>-3600000</v>
      </c>
      <c r="D84" s="55">
        <f t="shared" si="2"/>
        <v>0</v>
      </c>
      <c r="E84" s="55">
        <f t="shared" si="3"/>
        <v>-3600000</v>
      </c>
    </row>
    <row r="85" spans="1:5" x14ac:dyDescent="0.3">
      <c r="A85" s="54">
        <f>Ledger!A84</f>
        <v>45513</v>
      </c>
      <c r="B85" s="53" t="str">
        <f>Ledger!B84</f>
        <v>Aromatic Fresh Notes Investments Pty Ltd - Erf 1470 Khomasdal</v>
      </c>
      <c r="C85" s="55">
        <f>Ledger!C84</f>
        <v>-8000000</v>
      </c>
      <c r="D85" s="55">
        <f t="shared" si="2"/>
        <v>0</v>
      </c>
      <c r="E85" s="55">
        <f t="shared" si="3"/>
        <v>-8000000</v>
      </c>
    </row>
    <row r="86" spans="1:5" x14ac:dyDescent="0.3">
      <c r="A86" s="54">
        <f>Ledger!A85</f>
        <v>45562</v>
      </c>
      <c r="B86" s="53" t="str">
        <f>Ledger!B85</f>
        <v xml:space="preserve">Damask Dunescape Villas </v>
      </c>
      <c r="C86" s="55">
        <f>Ledger!C85</f>
        <v>-9751000</v>
      </c>
      <c r="D86" s="55">
        <f t="shared" si="2"/>
        <v>0</v>
      </c>
      <c r="E86" s="55">
        <f t="shared" si="3"/>
        <v>-9751000</v>
      </c>
    </row>
    <row r="87" spans="1:5" x14ac:dyDescent="0.3">
      <c r="A87" s="54">
        <f>Ledger!A86</f>
        <v>45616</v>
      </c>
      <c r="B87" s="53" t="str">
        <f>Ledger!B86</f>
        <v xml:space="preserve">Mossy Wood Notes Investments-  Turnstone Villas </v>
      </c>
      <c r="C87" s="55">
        <f>Ledger!C86</f>
        <v>-500000</v>
      </c>
      <c r="D87" s="55">
        <f t="shared" si="2"/>
        <v>0</v>
      </c>
      <c r="E87" s="55">
        <f t="shared" si="3"/>
        <v>-500000</v>
      </c>
    </row>
    <row r="88" spans="1:5" x14ac:dyDescent="0.3">
      <c r="A88" s="54">
        <f>Ledger!A87</f>
        <v>45625</v>
      </c>
      <c r="B88" s="53" t="str">
        <f>Ledger!B87</f>
        <v>Aromatic Fresh Notes Investments Pty Ltd - Erf 1470 Khomasdal</v>
      </c>
      <c r="C88" s="55">
        <f>Ledger!C87</f>
        <v>-6913000</v>
      </c>
      <c r="D88" s="55">
        <f t="shared" si="2"/>
        <v>0</v>
      </c>
      <c r="E88" s="55">
        <f t="shared" si="3"/>
        <v>-6913000</v>
      </c>
    </row>
    <row r="89" spans="1:5" x14ac:dyDescent="0.3">
      <c r="A89" s="54">
        <f>Ledger!A88</f>
        <v>45638</v>
      </c>
      <c r="B89" s="53" t="str">
        <f>Ledger!B88</f>
        <v xml:space="preserve">Damask Dunescape Villas </v>
      </c>
      <c r="C89" s="55">
        <f>Ledger!C88</f>
        <v>-4700000</v>
      </c>
      <c r="D89" s="55">
        <f t="shared" si="2"/>
        <v>0</v>
      </c>
      <c r="E89" s="55">
        <f t="shared" si="3"/>
        <v>-4700000</v>
      </c>
    </row>
    <row r="90" spans="1:5" x14ac:dyDescent="0.3">
      <c r="A90" s="54">
        <f>Ledger!A89</f>
        <v>45645</v>
      </c>
      <c r="B90" s="53" t="str">
        <f>Ledger!B89</f>
        <v>PAM Tree Investment Pty Ltd - Kuisebmund  Erf 5758</v>
      </c>
      <c r="C90" s="55">
        <f>Ledger!C89</f>
        <v>-13500000</v>
      </c>
      <c r="D90" s="55">
        <f t="shared" si="2"/>
        <v>0</v>
      </c>
      <c r="E90" s="55">
        <f t="shared" si="3"/>
        <v>-13500000</v>
      </c>
    </row>
    <row r="91" spans="1:5" x14ac:dyDescent="0.3">
      <c r="A91" s="54">
        <f>Ledger!A90</f>
        <v>45698</v>
      </c>
      <c r="B91" s="53" t="str">
        <f>Ledger!B90</f>
        <v xml:space="preserve">Damask Dunescape Villas </v>
      </c>
      <c r="C91" s="55">
        <f>Ledger!C90</f>
        <v>-1500000</v>
      </c>
      <c r="D91" s="55">
        <f t="shared" si="2"/>
        <v>0</v>
      </c>
      <c r="E91" s="55">
        <f t="shared" si="3"/>
        <v>-1500000</v>
      </c>
    </row>
    <row r="92" spans="1:5" x14ac:dyDescent="0.3">
      <c r="A92" s="54">
        <f>Ledger!A91</f>
        <v>45714</v>
      </c>
      <c r="B92" s="53" t="str">
        <f>Ledger!B91</f>
        <v>Aromatic Fresh Notes Investments Pty Ltd - Erf 1470 Khomasdal</v>
      </c>
      <c r="C92" s="55">
        <f>Ledger!C91</f>
        <v>-8600000</v>
      </c>
      <c r="D92" s="55">
        <f t="shared" si="2"/>
        <v>0</v>
      </c>
      <c r="E92" s="55">
        <f t="shared" si="3"/>
        <v>-8600000</v>
      </c>
    </row>
    <row r="93" spans="1:5" x14ac:dyDescent="0.3">
      <c r="A93" s="54">
        <f>Ledger!A92</f>
        <v>45748</v>
      </c>
      <c r="B93" s="53" t="str">
        <f>Ledger!B92</f>
        <v xml:space="preserve">Mossy Wood Notes Investments-  Turnstone Villas </v>
      </c>
      <c r="C93" s="55">
        <f>Ledger!C92</f>
        <v>-3640000</v>
      </c>
      <c r="D93" s="55">
        <f t="shared" si="2"/>
        <v>0</v>
      </c>
      <c r="E93" s="55">
        <f t="shared" si="3"/>
        <v>-3640000</v>
      </c>
    </row>
    <row r="94" spans="1:5" x14ac:dyDescent="0.3">
      <c r="A94" s="54">
        <f>Ledger!A93</f>
        <v>45839</v>
      </c>
      <c r="B94" s="53" t="str">
        <f>Ledger!B93</f>
        <v xml:space="preserve">Mossy Wood Notes Investments-  Turnstone Villas </v>
      </c>
      <c r="C94" s="55">
        <f>Ledger!C93</f>
        <v>-7400000</v>
      </c>
      <c r="D94" s="55">
        <f t="shared" si="2"/>
        <v>0</v>
      </c>
      <c r="E94" s="55">
        <f t="shared" si="3"/>
        <v>-7400000</v>
      </c>
    </row>
    <row r="95" spans="1:5" x14ac:dyDescent="0.3">
      <c r="A95" s="54">
        <f>Ledger!A94</f>
        <v>45881</v>
      </c>
      <c r="B95" s="53" t="str">
        <f>Ledger!B94</f>
        <v>Damask- Mondesa Palms</v>
      </c>
      <c r="C95" s="55">
        <f>Ledger!C94</f>
        <v>-7000000</v>
      </c>
      <c r="D95" s="55">
        <f t="shared" si="2"/>
        <v>0</v>
      </c>
      <c r="E95" s="55">
        <f t="shared" si="3"/>
        <v>-7000000</v>
      </c>
    </row>
    <row r="96" spans="1:5" x14ac:dyDescent="0.3">
      <c r="A96" s="54">
        <f>Ledger!A95</f>
        <v>45881</v>
      </c>
      <c r="B96" s="53" t="str">
        <f>Ledger!B95</f>
        <v>Blue Mont Pty Ltd The Ridge</v>
      </c>
      <c r="C96" s="55">
        <f>Ledger!C95</f>
        <v>-13000000</v>
      </c>
      <c r="D96" s="55">
        <f t="shared" si="2"/>
        <v>0</v>
      </c>
      <c r="E96" s="55">
        <f t="shared" si="3"/>
        <v>-13000000</v>
      </c>
    </row>
    <row r="97" spans="1:5" x14ac:dyDescent="0.3">
      <c r="A97" s="54">
        <f>Ledger!A96</f>
        <v>45923</v>
      </c>
      <c r="B97" s="53" t="str">
        <f>Ledger!B96</f>
        <v xml:space="preserve">Damask Dunescape Villas </v>
      </c>
      <c r="C97" s="55">
        <f>Ledger!C96</f>
        <v>24000000</v>
      </c>
      <c r="D97" s="55">
        <f t="shared" si="2"/>
        <v>0</v>
      </c>
      <c r="E97" s="55">
        <f t="shared" si="3"/>
        <v>24000000</v>
      </c>
    </row>
    <row r="98" spans="1:5" x14ac:dyDescent="0.3">
      <c r="A98" s="54">
        <f>Ledger!A97</f>
        <v>45929</v>
      </c>
      <c r="B98" s="53" t="str">
        <f>Ledger!B97</f>
        <v>Mango Cove -  Otjomuise Ext 10</v>
      </c>
      <c r="C98" s="55">
        <f>Ledger!C97</f>
        <v>-12000000</v>
      </c>
      <c r="D98" s="55">
        <f t="shared" si="2"/>
        <v>0</v>
      </c>
      <c r="E98" s="55">
        <f t="shared" si="3"/>
        <v>-12000000</v>
      </c>
    </row>
    <row r="99" spans="1:5" x14ac:dyDescent="0.3">
      <c r="A99" s="54">
        <f>Ledger!A98</f>
        <v>45937</v>
      </c>
      <c r="B99" s="53" t="str">
        <f>Ledger!B98</f>
        <v xml:space="preserve">Mossy Wood Notes Investments-  Turnstone Villas </v>
      </c>
      <c r="C99" s="55">
        <f>Ledger!C98</f>
        <v>-2260000</v>
      </c>
      <c r="D99" s="55">
        <f t="shared" si="2"/>
        <v>0</v>
      </c>
      <c r="E99" s="55">
        <f t="shared" si="3"/>
        <v>-2260000</v>
      </c>
    </row>
    <row r="100" spans="1:5" x14ac:dyDescent="0.3">
      <c r="A100" s="54">
        <f>Ledger!A99</f>
        <v>45988</v>
      </c>
      <c r="B100" s="53" t="str">
        <f>Ledger!B99</f>
        <v>PAM Tree Investment Pty Ltd - Kuisebmund  Erf 5758</v>
      </c>
      <c r="C100" s="55">
        <f>Ledger!C99</f>
        <v>-10750000</v>
      </c>
      <c r="D100" s="55">
        <f t="shared" si="2"/>
        <v>0</v>
      </c>
      <c r="E100" s="55">
        <f t="shared" si="3"/>
        <v>-10750000</v>
      </c>
    </row>
    <row r="101" spans="1:5" x14ac:dyDescent="0.3">
      <c r="A101" s="54">
        <f>Ledger!A100</f>
        <v>46093</v>
      </c>
      <c r="B101" s="53" t="str">
        <f>Ledger!B100</f>
        <v>PAM Tree Investment Pty Ltd - Kuisebmund  Erf 5758</v>
      </c>
      <c r="C101" s="55">
        <f>Ledger!C100</f>
        <v>-13600000</v>
      </c>
      <c r="D101" s="55">
        <f t="shared" si="2"/>
        <v>0</v>
      </c>
      <c r="E101" s="55">
        <f t="shared" si="3"/>
        <v>-13600000</v>
      </c>
    </row>
    <row r="102" spans="1:5" x14ac:dyDescent="0.3">
      <c r="A102" s="54">
        <f>Ledger!A101</f>
        <v>46171</v>
      </c>
      <c r="B102" s="53" t="str">
        <f>Ledger!B101</f>
        <v>Block 9 - C-Breeze Heights</v>
      </c>
      <c r="C102" s="55">
        <f>Ledger!C101</f>
        <v>-1209348.2</v>
      </c>
      <c r="D102" s="55">
        <f t="shared" si="2"/>
        <v>0</v>
      </c>
      <c r="E102" s="55">
        <f t="shared" si="3"/>
        <v>-1209348.2</v>
      </c>
    </row>
    <row r="103" spans="1:5" x14ac:dyDescent="0.3">
      <c r="A103" s="54">
        <f>Ledger!A102</f>
        <v>46174</v>
      </c>
      <c r="B103" s="53" t="str">
        <f>Ledger!B102</f>
        <v>Damask- Mondesa Palms</v>
      </c>
      <c r="C103" s="55">
        <f>Ledger!C102</f>
        <v>-8000000</v>
      </c>
      <c r="D103" s="55">
        <f t="shared" si="2"/>
        <v>0</v>
      </c>
      <c r="E103" s="55">
        <f t="shared" si="3"/>
        <v>-8000000</v>
      </c>
    </row>
    <row r="104" spans="1:5" x14ac:dyDescent="0.3">
      <c r="A104" s="54">
        <f>Ledger!A103</f>
        <v>46177</v>
      </c>
      <c r="B104" s="53" t="str">
        <f>Ledger!B103</f>
        <v>Block 9 - C-Breeze Heights</v>
      </c>
      <c r="C104" s="55">
        <f>Ledger!C103</f>
        <v>-1959878.2</v>
      </c>
      <c r="D104" s="55">
        <f t="shared" si="2"/>
        <v>0</v>
      </c>
      <c r="E104" s="55">
        <f t="shared" si="3"/>
        <v>-1959878.2</v>
      </c>
    </row>
    <row r="105" spans="1:5" x14ac:dyDescent="0.3">
      <c r="A105" s="54">
        <f>Ledger!A104</f>
        <v>46199</v>
      </c>
      <c r="B105" s="53" t="str">
        <f>Ledger!B104</f>
        <v>Block 9 - C-Breeze Heights</v>
      </c>
      <c r="C105" s="55">
        <f>Ledger!C104</f>
        <v>-1219884.74</v>
      </c>
      <c r="D105" s="55">
        <f t="shared" si="2"/>
        <v>0</v>
      </c>
      <c r="E105" s="55">
        <f t="shared" si="3"/>
        <v>-1219884.74</v>
      </c>
    </row>
    <row r="106" spans="1:5" x14ac:dyDescent="0.3">
      <c r="A106" s="54">
        <f>Ledger!A105</f>
        <v>46204</v>
      </c>
      <c r="B106" s="53" t="str">
        <f>Ledger!B105</f>
        <v>PAM Tree Investment Pty Ltd - Kuisebmund  Erf 5758</v>
      </c>
      <c r="C106" s="55">
        <f>Ledger!C105</f>
        <v>-3000000</v>
      </c>
      <c r="D106" s="55">
        <f t="shared" si="2"/>
        <v>0</v>
      </c>
      <c r="E106" s="55">
        <f t="shared" si="3"/>
        <v>-3000000</v>
      </c>
    </row>
    <row r="107" spans="1:5" x14ac:dyDescent="0.3">
      <c r="A107" s="54">
        <f>Ledger!A106</f>
        <v>46231</v>
      </c>
      <c r="B107" s="53" t="str">
        <f>Ledger!B106</f>
        <v>Block 9- Tama Estates</v>
      </c>
      <c r="C107" s="55">
        <f>Ledger!C106</f>
        <v>-4466720.46</v>
      </c>
      <c r="D107" s="55">
        <f t="shared" si="2"/>
        <v>0</v>
      </c>
      <c r="E107" s="55">
        <f t="shared" si="3"/>
        <v>-4466720.46</v>
      </c>
    </row>
    <row r="108" spans="1:5" x14ac:dyDescent="0.3">
      <c r="A108" s="54">
        <f>Ledger!A107</f>
        <v>46232</v>
      </c>
      <c r="B108" s="53" t="str">
        <f>Ledger!B107</f>
        <v>PAM Tree Investment Pty Ltd - Kuisebmund  Erf 5758</v>
      </c>
      <c r="C108" s="55">
        <f>Ledger!C107</f>
        <v>-4150000</v>
      </c>
      <c r="D108" s="55">
        <f t="shared" si="2"/>
        <v>0</v>
      </c>
      <c r="E108" s="55">
        <f t="shared" si="3"/>
        <v>-4150000</v>
      </c>
    </row>
    <row r="109" spans="1:5" x14ac:dyDescent="0.3">
      <c r="A109" s="54">
        <f>Ledger!A108</f>
        <v>46252</v>
      </c>
      <c r="B109" s="53" t="str">
        <f>Ledger!B108</f>
        <v>Blue Mont Pty Ltd The Ridge</v>
      </c>
      <c r="C109" s="55">
        <f>Ledger!C108</f>
        <v>-7000000</v>
      </c>
      <c r="D109" s="55">
        <f t="shared" si="2"/>
        <v>0</v>
      </c>
      <c r="E109" s="55">
        <f t="shared" si="3"/>
        <v>-7000000</v>
      </c>
    </row>
    <row r="110" spans="1:5" x14ac:dyDescent="0.3">
      <c r="A110" s="54">
        <v>46264</v>
      </c>
      <c r="B110" s="53" t="s">
        <v>254</v>
      </c>
      <c r="C110" s="55">
        <v>0</v>
      </c>
      <c r="D110" s="55">
        <f t="shared" si="2"/>
        <v>0</v>
      </c>
      <c r="E110" s="55">
        <f>+C110</f>
        <v>0</v>
      </c>
    </row>
    <row r="111" spans="1:5" x14ac:dyDescent="0.3">
      <c r="A111" s="54">
        <f>DATE(2026,7,30)</f>
        <v>46233</v>
      </c>
      <c r="B111" s="53" t="s">
        <v>241</v>
      </c>
      <c r="C111" s="55">
        <v>184102954.74000001</v>
      </c>
      <c r="D111" s="55">
        <f t="shared" si="2"/>
        <v>0</v>
      </c>
      <c r="E111" s="55">
        <f t="shared" si="3"/>
        <v>184102954.74000001</v>
      </c>
    </row>
    <row r="112" spans="1:5" x14ac:dyDescent="0.3">
      <c r="B112" s="56" t="s">
        <v>242</v>
      </c>
      <c r="C112" s="57">
        <f>C111+SUM(C6:C109)</f>
        <v>20898725.950000018</v>
      </c>
      <c r="D112" s="65"/>
    </row>
    <row r="114" spans="1:3" x14ac:dyDescent="0.3">
      <c r="A114" s="49" t="s">
        <v>243</v>
      </c>
      <c r="B114" s="50"/>
      <c r="C114" s="50"/>
    </row>
    <row r="115" spans="1:3" x14ac:dyDescent="0.3">
      <c r="A115" s="58" t="s">
        <v>244</v>
      </c>
      <c r="C115" s="76">
        <f>XIRR(C6:C111,A6:A111)</f>
        <v>3.2421144843101504E-2</v>
      </c>
    </row>
    <row r="116" spans="1:3" x14ac:dyDescent="0.3">
      <c r="A116" s="51" t="s">
        <v>253</v>
      </c>
      <c r="C116" s="75">
        <f>XIRR(E7:E111,A7:A111)</f>
        <v>0.16933767199516297</v>
      </c>
    </row>
    <row r="118" spans="1:3" x14ac:dyDescent="0.3">
      <c r="A118" s="48" t="s">
        <v>257</v>
      </c>
      <c r="B118" s="61">
        <f>B119+B120</f>
        <v>1.0563301553204112</v>
      </c>
    </row>
    <row r="119" spans="1:3" x14ac:dyDescent="0.3">
      <c r="A119" s="51" t="s">
        <v>258</v>
      </c>
      <c r="B119" s="61">
        <f>SUMIF(C6:C109,"&gt;0")/-SUMIF(C6:C109,"&lt;0")</f>
        <v>0.5601014349542881</v>
      </c>
      <c r="C119" s="59"/>
    </row>
    <row r="120" spans="1:3" x14ac:dyDescent="0.3">
      <c r="A120" s="51" t="s">
        <v>260</v>
      </c>
      <c r="B120" s="61">
        <f>C111/-SUMIF(C6:C109,"&lt;0")</f>
        <v>0.49622872036612298</v>
      </c>
      <c r="C120" s="60"/>
    </row>
    <row r="121" spans="1:3" x14ac:dyDescent="0.3">
      <c r="A121" s="51" t="s">
        <v>259</v>
      </c>
      <c r="B121" s="61">
        <f>(SUMIF(C6:C109,"&gt;0")+C111)/-SUMIF(C6:C109,"&lt;0")</f>
        <v>1.056330155320411</v>
      </c>
      <c r="C121" s="60"/>
    </row>
    <row r="122" spans="1:3" x14ac:dyDescent="0.3">
      <c r="A122" s="51"/>
      <c r="C122" s="61"/>
    </row>
  </sheetData>
  <mergeCells count="1">
    <mergeCell ref="C4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FC95-9E97-4197-B586-6F64AE01CC50}">
  <dimension ref="A1:H33"/>
  <sheetViews>
    <sheetView workbookViewId="0"/>
  </sheetViews>
  <sheetFormatPr defaultColWidth="10.33203125" defaultRowHeight="11.4" x14ac:dyDescent="0.2"/>
  <cols>
    <col min="1" max="1" width="50.44140625" style="81" customWidth="1"/>
    <col min="2" max="2" width="19.88671875" style="81" customWidth="1"/>
    <col min="3" max="3" width="17.44140625" style="81" customWidth="1"/>
    <col min="4" max="4" width="10.33203125" style="81" customWidth="1"/>
    <col min="5" max="5" width="11.5546875" style="81" bestFit="1" customWidth="1"/>
    <col min="6" max="6" width="10.33203125" style="81" customWidth="1"/>
    <col min="7" max="16384" width="10.33203125" style="81"/>
  </cols>
  <sheetData>
    <row r="1" spans="1:8" s="78" customFormat="1" ht="16.95" customHeight="1" x14ac:dyDescent="0.3">
      <c r="A1" s="77" t="s">
        <v>263</v>
      </c>
      <c r="B1" s="77"/>
      <c r="C1" s="77"/>
    </row>
    <row r="2" spans="1:8" s="80" customFormat="1" ht="14.7" customHeight="1" x14ac:dyDescent="0.25">
      <c r="A2" s="79" t="s">
        <v>264</v>
      </c>
      <c r="B2" s="79"/>
      <c r="C2" s="79"/>
    </row>
    <row r="3" spans="1:8" s="80" customFormat="1" ht="14.7" customHeight="1" x14ac:dyDescent="0.25">
      <c r="A3" s="79" t="s">
        <v>265</v>
      </c>
      <c r="B3" s="79"/>
      <c r="C3" s="79"/>
    </row>
    <row r="4" spans="1:8" ht="13.2" customHeight="1" x14ac:dyDescent="0.2"/>
    <row r="5" spans="1:8" s="84" customFormat="1" ht="12.45" customHeight="1" x14ac:dyDescent="0.25">
      <c r="A5" s="82" t="s">
        <v>266</v>
      </c>
      <c r="B5" s="83" t="s">
        <v>267</v>
      </c>
      <c r="C5" s="83" t="s">
        <v>268</v>
      </c>
    </row>
    <row r="6" spans="1:8" ht="13.2" customHeight="1" x14ac:dyDescent="0.2">
      <c r="B6" s="85">
        <v>46234</v>
      </c>
      <c r="C6" s="85">
        <v>46022</v>
      </c>
    </row>
    <row r="7" spans="1:8" s="84" customFormat="1" ht="12.45" customHeight="1" x14ac:dyDescent="0.25">
      <c r="A7" s="86" t="s">
        <v>269</v>
      </c>
      <c r="B7" s="87"/>
      <c r="C7" s="87"/>
    </row>
    <row r="8" spans="1:8" ht="10.95" customHeight="1" x14ac:dyDescent="0.2">
      <c r="A8" s="88" t="s">
        <v>270</v>
      </c>
      <c r="B8" s="89">
        <v>-380249.58</v>
      </c>
      <c r="C8" s="89">
        <v>-4695005</v>
      </c>
    </row>
    <row r="9" spans="1:8" ht="10.95" customHeight="1" x14ac:dyDescent="0.2">
      <c r="A9" s="90" t="s">
        <v>271</v>
      </c>
      <c r="B9" s="89"/>
      <c r="C9" s="89">
        <v>1580113</v>
      </c>
      <c r="E9" s="91"/>
    </row>
    <row r="10" spans="1:8" ht="10.95" customHeight="1" x14ac:dyDescent="0.25">
      <c r="A10" s="92" t="s">
        <v>272</v>
      </c>
      <c r="B10" s="93">
        <f>SUM(B8:B9)</f>
        <v>-380249.58</v>
      </c>
      <c r="C10" s="93">
        <f>SUM(C8:C9)</f>
        <v>-3114892</v>
      </c>
      <c r="E10" s="91"/>
    </row>
    <row r="11" spans="1:8" ht="13.2" customHeight="1" x14ac:dyDescent="0.2">
      <c r="A11" s="90"/>
      <c r="B11" s="89"/>
      <c r="C11" s="89"/>
    </row>
    <row r="12" spans="1:8" s="84" customFormat="1" ht="12.45" customHeight="1" x14ac:dyDescent="0.25">
      <c r="A12" s="86" t="s">
        <v>273</v>
      </c>
      <c r="B12" s="94"/>
      <c r="C12" s="94"/>
    </row>
    <row r="13" spans="1:8" s="84" customFormat="1" ht="12.45" customHeight="1" x14ac:dyDescent="0.25">
      <c r="A13" s="88" t="s">
        <v>72</v>
      </c>
      <c r="B13" s="95">
        <v>-500000</v>
      </c>
      <c r="C13" s="95">
        <v>8902639.4100000001</v>
      </c>
    </row>
    <row r="14" spans="1:8" ht="10.95" customHeight="1" x14ac:dyDescent="0.2">
      <c r="A14" s="96" t="s">
        <v>274</v>
      </c>
      <c r="B14" s="97">
        <v>0</v>
      </c>
      <c r="C14" s="97">
        <v>-78279.710000000006</v>
      </c>
    </row>
    <row r="15" spans="1:8" ht="10.95" customHeight="1" x14ac:dyDescent="0.2">
      <c r="A15" s="96" t="s">
        <v>275</v>
      </c>
      <c r="B15" s="97">
        <v>-5900000</v>
      </c>
      <c r="C15" s="97">
        <v>20520366.18</v>
      </c>
      <c r="H15" s="98"/>
    </row>
    <row r="16" spans="1:8" ht="10.95" customHeight="1" x14ac:dyDescent="0.2">
      <c r="A16" s="96" t="s">
        <v>276</v>
      </c>
      <c r="B16" s="97">
        <v>0</v>
      </c>
      <c r="C16" s="97">
        <v>-13968610.25</v>
      </c>
      <c r="F16" s="99"/>
    </row>
    <row r="17" spans="1:3" ht="10.95" customHeight="1" x14ac:dyDescent="0.2">
      <c r="A17" s="96" t="s">
        <v>277</v>
      </c>
      <c r="B17" s="97">
        <v>3262978.09</v>
      </c>
      <c r="C17" s="97">
        <v>-23328666.16</v>
      </c>
    </row>
    <row r="18" spans="1:3" ht="10.95" customHeight="1" x14ac:dyDescent="0.2">
      <c r="A18" s="96" t="s">
        <v>278</v>
      </c>
      <c r="B18" s="97">
        <v>0</v>
      </c>
      <c r="C18" s="97">
        <v>0</v>
      </c>
    </row>
    <row r="19" spans="1:3" ht="10.95" customHeight="1" x14ac:dyDescent="0.2">
      <c r="A19" s="96" t="s">
        <v>279</v>
      </c>
      <c r="B19" s="97">
        <v>-4389111.1399999997</v>
      </c>
      <c r="C19" s="97"/>
    </row>
    <row r="20" spans="1:3" ht="10.95" customHeight="1" x14ac:dyDescent="0.2">
      <c r="A20" s="96" t="s">
        <v>280</v>
      </c>
      <c r="B20" s="97">
        <v>-4888879.26</v>
      </c>
      <c r="C20" s="97"/>
    </row>
    <row r="21" spans="1:3" ht="10.95" customHeight="1" x14ac:dyDescent="0.25">
      <c r="A21" s="92" t="s">
        <v>281</v>
      </c>
      <c r="B21" s="93">
        <f>SUM(B13:B20)</f>
        <v>-12415012.309999999</v>
      </c>
      <c r="C21" s="93">
        <f>SUM(C13:C20)</f>
        <v>-7952550.5300000012</v>
      </c>
    </row>
    <row r="22" spans="1:3" ht="10.95" customHeight="1" x14ac:dyDescent="0.2">
      <c r="A22" s="90"/>
      <c r="B22" s="89"/>
      <c r="C22" s="89"/>
    </row>
    <row r="23" spans="1:3" s="84" customFormat="1" ht="10.95" customHeight="1" x14ac:dyDescent="0.25">
      <c r="A23" s="86" t="s">
        <v>282</v>
      </c>
      <c r="B23" s="94"/>
      <c r="C23" s="94"/>
    </row>
    <row r="24" spans="1:3" ht="10.95" customHeight="1" x14ac:dyDescent="0.2">
      <c r="A24" s="88" t="s">
        <v>283</v>
      </c>
      <c r="B24" s="95"/>
      <c r="C24" s="95"/>
    </row>
    <row r="25" spans="1:3" ht="10.95" customHeight="1" x14ac:dyDescent="0.2">
      <c r="A25" s="90" t="s">
        <v>284</v>
      </c>
      <c r="B25" s="89">
        <v>23000000</v>
      </c>
      <c r="C25" s="89">
        <v>35632938.420000002</v>
      </c>
    </row>
    <row r="26" spans="1:3" ht="10.95" customHeight="1" x14ac:dyDescent="0.25">
      <c r="A26" s="92" t="s">
        <v>285</v>
      </c>
      <c r="B26" s="93">
        <f>SUM(B25)</f>
        <v>23000000</v>
      </c>
      <c r="C26" s="93">
        <f>SUM(C25)</f>
        <v>35632938.420000002</v>
      </c>
    </row>
    <row r="27" spans="1:3" ht="13.2" customHeight="1" x14ac:dyDescent="0.2">
      <c r="A27" s="90"/>
      <c r="B27" s="89"/>
      <c r="C27" s="89"/>
    </row>
    <row r="28" spans="1:3" ht="10.95" customHeight="1" x14ac:dyDescent="0.25">
      <c r="A28" s="100" t="s">
        <v>286</v>
      </c>
      <c r="B28" s="101">
        <f>SUM(B10+B21+B26)</f>
        <v>10204738.110000001</v>
      </c>
      <c r="C28" s="101">
        <f>SUM(C10+C21+C26)</f>
        <v>24565495.890000001</v>
      </c>
    </row>
    <row r="29" spans="1:3" ht="13.2" customHeight="1" x14ac:dyDescent="0.2">
      <c r="A29" s="90"/>
      <c r="B29" s="89"/>
      <c r="C29" s="89"/>
    </row>
    <row r="30" spans="1:3" s="84" customFormat="1" ht="12.45" customHeight="1" x14ac:dyDescent="0.25">
      <c r="A30" s="86" t="s">
        <v>287</v>
      </c>
      <c r="B30" s="94"/>
      <c r="C30" s="94"/>
    </row>
    <row r="31" spans="1:3" ht="10.95" customHeight="1" x14ac:dyDescent="0.25">
      <c r="A31" s="88" t="s">
        <v>288</v>
      </c>
      <c r="B31" s="102">
        <v>56832420.600000001</v>
      </c>
      <c r="C31" s="102">
        <v>11258687.300000001</v>
      </c>
    </row>
    <row r="32" spans="1:3" ht="10.95" customHeight="1" x14ac:dyDescent="0.2">
      <c r="A32" s="103" t="s">
        <v>289</v>
      </c>
      <c r="B32" s="104">
        <f>B28</f>
        <v>10204738.110000001</v>
      </c>
      <c r="C32" s="104">
        <v>24046053.98</v>
      </c>
    </row>
    <row r="33" spans="1:3" ht="10.95" customHeight="1" x14ac:dyDescent="0.25">
      <c r="A33" s="90" t="s">
        <v>290</v>
      </c>
      <c r="B33" s="105">
        <f>B31+B32</f>
        <v>67037158.710000001</v>
      </c>
      <c r="C33" s="105">
        <f>SUM(C31:C32)</f>
        <v>35304741.280000001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408F-114A-4FF6-A431-7603DEAE6939}">
  <dimension ref="A1:C39"/>
  <sheetViews>
    <sheetView workbookViewId="0"/>
  </sheetViews>
  <sheetFormatPr defaultColWidth="10.33203125" defaultRowHeight="11.4" x14ac:dyDescent="0.2"/>
  <cols>
    <col min="1" max="1" width="71.109375" style="81" customWidth="1"/>
    <col min="2" max="3" width="26" style="81" customWidth="1"/>
    <col min="4" max="4" width="10.33203125" style="81" customWidth="1"/>
    <col min="5" max="16384" width="10.33203125" style="81"/>
  </cols>
  <sheetData>
    <row r="1" spans="1:3" ht="17.399999999999999" x14ac:dyDescent="0.3">
      <c r="A1" s="106" t="s">
        <v>291</v>
      </c>
      <c r="B1" s="106"/>
      <c r="C1" s="106"/>
    </row>
    <row r="2" spans="1:3" ht="15" x14ac:dyDescent="0.25">
      <c r="A2" s="107" t="s">
        <v>264</v>
      </c>
      <c r="B2" s="107"/>
      <c r="C2" s="107"/>
    </row>
    <row r="3" spans="1:3" ht="15" x14ac:dyDescent="0.25">
      <c r="A3" s="107" t="s">
        <v>292</v>
      </c>
      <c r="B3" s="107"/>
      <c r="C3" s="107"/>
    </row>
    <row r="4" spans="1:3" x14ac:dyDescent="0.2">
      <c r="A4" s="90"/>
      <c r="B4" s="90"/>
      <c r="C4" s="90"/>
    </row>
    <row r="5" spans="1:3" ht="13.2" x14ac:dyDescent="0.25">
      <c r="A5" s="86" t="s">
        <v>266</v>
      </c>
      <c r="B5" s="108" t="s">
        <v>267</v>
      </c>
      <c r="C5" s="108" t="s">
        <v>268</v>
      </c>
    </row>
    <row r="6" spans="1:3" ht="12" x14ac:dyDescent="0.25">
      <c r="A6" s="88"/>
      <c r="B6" s="109">
        <v>46234</v>
      </c>
      <c r="C6" s="109">
        <v>46022</v>
      </c>
    </row>
    <row r="7" spans="1:3" ht="13.2" x14ac:dyDescent="0.25">
      <c r="A7" s="86" t="s">
        <v>293</v>
      </c>
      <c r="B7" s="86"/>
      <c r="C7" s="86"/>
    </row>
    <row r="8" spans="1:3" x14ac:dyDescent="0.2">
      <c r="A8" s="110" t="s">
        <v>72</v>
      </c>
      <c r="B8" s="111">
        <f>468506.7+4713656.07-4713656.07</f>
        <v>468506.70000000019</v>
      </c>
      <c r="C8" s="111">
        <v>16724749.07</v>
      </c>
    </row>
    <row r="9" spans="1:3" x14ac:dyDescent="0.2">
      <c r="A9" s="103" t="s">
        <v>274</v>
      </c>
      <c r="B9" s="112">
        <v>62481.84</v>
      </c>
      <c r="C9" s="112">
        <v>365629.4</v>
      </c>
    </row>
    <row r="10" spans="1:3" x14ac:dyDescent="0.2">
      <c r="A10" s="103" t="s">
        <v>275</v>
      </c>
      <c r="B10" s="112">
        <v>0</v>
      </c>
      <c r="C10" s="112">
        <v>2427143.2999999998</v>
      </c>
    </row>
    <row r="11" spans="1:3" x14ac:dyDescent="0.2">
      <c r="A11" s="103" t="s">
        <v>276</v>
      </c>
      <c r="B11" s="112">
        <v>0</v>
      </c>
      <c r="C11" s="112">
        <v>939942.93</v>
      </c>
    </row>
    <row r="12" spans="1:3" x14ac:dyDescent="0.2">
      <c r="A12" s="103" t="s">
        <v>294</v>
      </c>
      <c r="B12" s="112">
        <v>1192.78</v>
      </c>
      <c r="C12" s="112"/>
    </row>
    <row r="13" spans="1:3" x14ac:dyDescent="0.2">
      <c r="A13" s="103" t="s">
        <v>295</v>
      </c>
      <c r="B13" s="112">
        <v>81603.09</v>
      </c>
      <c r="C13" s="112"/>
    </row>
    <row r="14" spans="1:3" x14ac:dyDescent="0.2">
      <c r="A14" s="113" t="s">
        <v>296</v>
      </c>
      <c r="B14" s="114">
        <v>745978.88</v>
      </c>
      <c r="C14" s="114"/>
    </row>
    <row r="15" spans="1:3" ht="12" x14ac:dyDescent="0.25">
      <c r="A15" s="115" t="s">
        <v>297</v>
      </c>
      <c r="B15" s="116">
        <f>SUM(B8:B14)</f>
        <v>1359763.29</v>
      </c>
      <c r="C15" s="116">
        <f>SUM(C8:C14)</f>
        <v>20457464.699999999</v>
      </c>
    </row>
    <row r="16" spans="1:3" x14ac:dyDescent="0.2">
      <c r="A16" s="90"/>
      <c r="B16" s="117"/>
      <c r="C16" s="117"/>
    </row>
    <row r="17" spans="1:3" ht="13.2" x14ac:dyDescent="0.25">
      <c r="A17" s="86" t="s">
        <v>298</v>
      </c>
      <c r="B17" s="108"/>
      <c r="C17" s="108"/>
    </row>
    <row r="18" spans="1:3" ht="12" x14ac:dyDescent="0.25">
      <c r="A18" s="118" t="s">
        <v>299</v>
      </c>
      <c r="B18" s="119"/>
      <c r="C18" s="119"/>
    </row>
    <row r="19" spans="1:3" x14ac:dyDescent="0.2">
      <c r="A19" s="110" t="s">
        <v>300</v>
      </c>
      <c r="B19" s="111">
        <v>4772.5</v>
      </c>
      <c r="C19" s="111">
        <v>60978</v>
      </c>
    </row>
    <row r="20" spans="1:3" x14ac:dyDescent="0.2">
      <c r="A20" s="103" t="s">
        <v>301</v>
      </c>
      <c r="B20" s="112">
        <v>1805.02</v>
      </c>
      <c r="C20" s="112">
        <v>3617.7</v>
      </c>
    </row>
    <row r="21" spans="1:3" x14ac:dyDescent="0.2">
      <c r="A21" s="113" t="s">
        <v>302</v>
      </c>
      <c r="B21" s="114">
        <v>1247896.05</v>
      </c>
      <c r="C21" s="114">
        <v>6401193.8099999996</v>
      </c>
    </row>
    <row r="22" spans="1:3" ht="12" x14ac:dyDescent="0.25">
      <c r="A22" s="115" t="s">
        <v>303</v>
      </c>
      <c r="B22" s="116">
        <f>SUM(B19:B21)</f>
        <v>1254473.57</v>
      </c>
      <c r="C22" s="116">
        <f>SUM(C19:C21)</f>
        <v>6465789.5099999998</v>
      </c>
    </row>
    <row r="23" spans="1:3" x14ac:dyDescent="0.2">
      <c r="A23" s="90"/>
      <c r="B23" s="117"/>
      <c r="C23" s="117"/>
    </row>
    <row r="24" spans="1:3" ht="12" x14ac:dyDescent="0.25">
      <c r="A24" s="118" t="s">
        <v>304</v>
      </c>
      <c r="B24" s="119"/>
      <c r="C24" s="119"/>
    </row>
    <row r="25" spans="1:3" x14ac:dyDescent="0.2">
      <c r="A25" s="110" t="s">
        <v>305</v>
      </c>
      <c r="B25" s="111">
        <v>34597</v>
      </c>
      <c r="C25" s="111">
        <v>88274.38</v>
      </c>
    </row>
    <row r="26" spans="1:3" x14ac:dyDescent="0.2">
      <c r="A26" s="103" t="s">
        <v>306</v>
      </c>
      <c r="B26" s="112">
        <v>0</v>
      </c>
      <c r="C26" s="112">
        <v>3920</v>
      </c>
    </row>
    <row r="27" spans="1:3" x14ac:dyDescent="0.2">
      <c r="A27" s="103" t="s">
        <v>307</v>
      </c>
      <c r="B27" s="112">
        <v>0</v>
      </c>
      <c r="C27" s="112">
        <v>12075</v>
      </c>
    </row>
    <row r="28" spans="1:3" x14ac:dyDescent="0.2">
      <c r="A28" s="103" t="s">
        <v>308</v>
      </c>
      <c r="B28" s="112">
        <v>0</v>
      </c>
      <c r="C28" s="112">
        <v>16560</v>
      </c>
    </row>
    <row r="29" spans="1:3" x14ac:dyDescent="0.2">
      <c r="A29" s="103" t="s">
        <v>309</v>
      </c>
      <c r="B29" s="112">
        <v>460391.91</v>
      </c>
      <c r="C29" s="112">
        <v>282712.55</v>
      </c>
    </row>
    <row r="30" spans="1:3" x14ac:dyDescent="0.2">
      <c r="A30" s="103" t="s">
        <v>310</v>
      </c>
      <c r="B30" s="112">
        <v>2152.5</v>
      </c>
      <c r="C30" s="112">
        <v>13125</v>
      </c>
    </row>
    <row r="31" spans="1:3" x14ac:dyDescent="0.2">
      <c r="A31" s="113" t="s">
        <v>311</v>
      </c>
      <c r="B31" s="114">
        <v>2444.0500000000002</v>
      </c>
      <c r="C31" s="114">
        <v>62359.18</v>
      </c>
    </row>
    <row r="32" spans="1:3" ht="12" x14ac:dyDescent="0.25">
      <c r="A32" s="115" t="s">
        <v>312</v>
      </c>
      <c r="B32" s="116">
        <f>SUM(B25:B31)</f>
        <v>499585.45999999996</v>
      </c>
      <c r="C32" s="116">
        <f>SUM(C25:C31)</f>
        <v>479026.11</v>
      </c>
    </row>
    <row r="33" spans="1:3" x14ac:dyDescent="0.2">
      <c r="A33" s="90"/>
      <c r="B33" s="117"/>
      <c r="C33" s="117"/>
    </row>
    <row r="34" spans="1:3" ht="13.2" x14ac:dyDescent="0.25">
      <c r="A34" s="120" t="s">
        <v>313</v>
      </c>
      <c r="B34" s="121">
        <f>SUM(B15-B22-B32)</f>
        <v>-394295.74</v>
      </c>
      <c r="C34" s="121">
        <f>SUM(C15-C22-C32)</f>
        <v>13512649.08</v>
      </c>
    </row>
    <row r="35" spans="1:3" x14ac:dyDescent="0.2">
      <c r="A35" s="90"/>
      <c r="B35" s="117"/>
      <c r="C35" s="117"/>
    </row>
    <row r="36" spans="1:3" ht="13.2" x14ac:dyDescent="0.25">
      <c r="A36" s="86" t="s">
        <v>314</v>
      </c>
      <c r="B36" s="108"/>
      <c r="C36" s="108"/>
    </row>
    <row r="37" spans="1:3" x14ac:dyDescent="0.2">
      <c r="A37" s="88" t="s">
        <v>315</v>
      </c>
      <c r="B37" s="122">
        <f>90959.47+1037215.83</f>
        <v>1128175.3</v>
      </c>
      <c r="C37" s="122">
        <v>1580113</v>
      </c>
    </row>
    <row r="38" spans="1:3" x14ac:dyDescent="0.2">
      <c r="A38" s="90"/>
      <c r="B38" s="117"/>
      <c r="C38" s="117"/>
    </row>
    <row r="39" spans="1:3" ht="13.2" x14ac:dyDescent="0.25">
      <c r="A39" s="120" t="s">
        <v>316</v>
      </c>
      <c r="B39" s="121">
        <f>SUM(B34+B37)</f>
        <v>733879.56</v>
      </c>
      <c r="C39" s="121">
        <f>SUM(C34+C37)</f>
        <v>15092762.08</v>
      </c>
    </row>
  </sheetData>
  <pageMargins left="0.70000000000000007" right="0.70000000000000007" top="0.75" bottom="0.75" header="0.30000000000000004" footer="0.3000000000000000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0F02-510A-445A-873D-CCD057072623}">
  <dimension ref="A1:F38"/>
  <sheetViews>
    <sheetView workbookViewId="0">
      <selection sqref="A1:D38"/>
    </sheetView>
  </sheetViews>
  <sheetFormatPr defaultColWidth="10.33203125" defaultRowHeight="11.4" x14ac:dyDescent="0.2"/>
  <cols>
    <col min="1" max="1" width="4.6640625" style="81" customWidth="1"/>
    <col min="2" max="2" width="64" style="81" customWidth="1"/>
    <col min="3" max="4" width="26" style="81" customWidth="1"/>
    <col min="5" max="5" width="10.33203125" style="81" customWidth="1"/>
    <col min="6" max="6" width="12.44140625" style="81" bestFit="1" customWidth="1"/>
    <col min="7" max="7" width="10.33203125" style="81" customWidth="1"/>
    <col min="8" max="16384" width="10.33203125" style="81"/>
  </cols>
  <sheetData>
    <row r="1" spans="1:5" ht="17.399999999999999" x14ac:dyDescent="0.3">
      <c r="A1" s="123" t="s">
        <v>317</v>
      </c>
    </row>
    <row r="2" spans="1:5" ht="15" x14ac:dyDescent="0.25">
      <c r="A2" s="80" t="s">
        <v>264</v>
      </c>
    </row>
    <row r="3" spans="1:5" ht="15" x14ac:dyDescent="0.25">
      <c r="A3" s="80" t="s">
        <v>318</v>
      </c>
    </row>
    <row r="5" spans="1:5" ht="13.2" x14ac:dyDescent="0.25">
      <c r="A5" s="124"/>
      <c r="B5" s="125" t="s">
        <v>266</v>
      </c>
      <c r="C5" s="126">
        <v>46234</v>
      </c>
      <c r="D5" s="126">
        <v>46022</v>
      </c>
    </row>
    <row r="7" spans="1:5" ht="13.2" x14ac:dyDescent="0.25">
      <c r="A7" s="127" t="s">
        <v>319</v>
      </c>
      <c r="B7" s="124"/>
      <c r="C7" s="124"/>
      <c r="D7" s="124"/>
      <c r="E7" s="81" t="s">
        <v>320</v>
      </c>
    </row>
    <row r="8" spans="1:5" ht="12" x14ac:dyDescent="0.25">
      <c r="B8" s="128" t="s">
        <v>321</v>
      </c>
    </row>
    <row r="9" spans="1:5" x14ac:dyDescent="0.2">
      <c r="B9" s="81" t="s">
        <v>72</v>
      </c>
      <c r="C9" s="129">
        <f>7637141.86+100-6457938.26+122372439.11-83446221.78</f>
        <v>40105520.929999992</v>
      </c>
      <c r="D9" s="129">
        <v>51356035</v>
      </c>
    </row>
    <row r="10" spans="1:5" x14ac:dyDescent="0.2">
      <c r="B10" s="81" t="s">
        <v>322</v>
      </c>
      <c r="C10" s="130">
        <v>1037365.93</v>
      </c>
      <c r="D10" s="130">
        <v>875383.15</v>
      </c>
    </row>
    <row r="11" spans="1:5" x14ac:dyDescent="0.2">
      <c r="B11" s="81" t="s">
        <v>323</v>
      </c>
      <c r="C11" s="130">
        <f>12958783.82+100</f>
        <v>12958883.82</v>
      </c>
      <c r="D11" s="130">
        <v>5069869</v>
      </c>
    </row>
    <row r="12" spans="1:5" x14ac:dyDescent="0.2">
      <c r="B12" s="81" t="s">
        <v>324</v>
      </c>
      <c r="C12" s="130">
        <f>2618331.89+2293395.82+100</f>
        <v>4911827.71</v>
      </c>
      <c r="D12" s="130">
        <v>17247230</v>
      </c>
    </row>
    <row r="13" spans="1:5" x14ac:dyDescent="0.2">
      <c r="B13" s="81" t="s">
        <v>325</v>
      </c>
      <c r="C13" s="130">
        <v>35672548.439999998</v>
      </c>
      <c r="D13" s="130">
        <v>23328666.16</v>
      </c>
    </row>
    <row r="14" spans="1:5" x14ac:dyDescent="0.2">
      <c r="B14" s="81" t="s">
        <v>326</v>
      </c>
      <c r="C14" s="130">
        <v>13022185.550000001</v>
      </c>
      <c r="D14" s="131">
        <v>0</v>
      </c>
    </row>
    <row r="15" spans="1:5" x14ac:dyDescent="0.2">
      <c r="B15" s="81" t="s">
        <v>327</v>
      </c>
      <c r="C15" s="130">
        <v>4290303.92</v>
      </c>
      <c r="D15" s="131">
        <v>0</v>
      </c>
    </row>
    <row r="16" spans="1:5" x14ac:dyDescent="0.2">
      <c r="B16" s="81" t="s">
        <v>328</v>
      </c>
      <c r="C16" s="130">
        <v>4827159.7300000004</v>
      </c>
      <c r="D16" s="131">
        <v>0</v>
      </c>
    </row>
    <row r="17" spans="1:6" ht="13.2" x14ac:dyDescent="0.25">
      <c r="A17" s="132" t="s">
        <v>329</v>
      </c>
      <c r="C17" s="133">
        <f>SUM(C9:C16)</f>
        <v>116825796.02999999</v>
      </c>
      <c r="D17" s="133">
        <f>SUM(D9:D16)</f>
        <v>97877183.310000002</v>
      </c>
    </row>
    <row r="18" spans="1:6" x14ac:dyDescent="0.2">
      <c r="C18" s="91"/>
      <c r="D18" s="91"/>
    </row>
    <row r="19" spans="1:6" ht="12" x14ac:dyDescent="0.25">
      <c r="B19" s="128" t="s">
        <v>330</v>
      </c>
      <c r="C19" s="91"/>
      <c r="D19" s="91"/>
    </row>
    <row r="20" spans="1:6" x14ac:dyDescent="0.2">
      <c r="B20" s="81" t="s">
        <v>331</v>
      </c>
      <c r="C20" s="129">
        <f>13517440.96+53519717.75</f>
        <v>67037158.710000001</v>
      </c>
      <c r="D20" s="129">
        <v>35754741</v>
      </c>
    </row>
    <row r="21" spans="1:6" x14ac:dyDescent="0.2">
      <c r="B21" s="81" t="s">
        <v>332</v>
      </c>
      <c r="C21" s="134">
        <v>240000</v>
      </c>
      <c r="D21" s="135">
        <v>0</v>
      </c>
    </row>
    <row r="22" spans="1:6" ht="13.2" x14ac:dyDescent="0.25">
      <c r="A22" s="132" t="s">
        <v>333</v>
      </c>
      <c r="C22" s="136">
        <f>SUM(C20:C21)</f>
        <v>67277158.710000008</v>
      </c>
      <c r="D22" s="136">
        <f>SUM(D20:D21)</f>
        <v>35754741</v>
      </c>
    </row>
    <row r="23" spans="1:6" ht="13.8" x14ac:dyDescent="0.25">
      <c r="A23" s="137" t="s">
        <v>334</v>
      </c>
      <c r="C23" s="138">
        <f>C17+C22</f>
        <v>184102954.74000001</v>
      </c>
      <c r="D23" s="138">
        <f>D17+D22</f>
        <v>133631924.31</v>
      </c>
    </row>
    <row r="24" spans="1:6" x14ac:dyDescent="0.2">
      <c r="C24" s="91"/>
      <c r="D24" s="91"/>
    </row>
    <row r="25" spans="1:6" ht="13.2" x14ac:dyDescent="0.25">
      <c r="A25" s="127" t="s">
        <v>335</v>
      </c>
      <c r="B25" s="124"/>
      <c r="C25" s="91"/>
      <c r="D25" s="91"/>
    </row>
    <row r="26" spans="1:6" x14ac:dyDescent="0.2">
      <c r="B26" s="81" t="s">
        <v>336</v>
      </c>
      <c r="C26" s="139">
        <v>188072936.41999999</v>
      </c>
      <c r="D26" s="139">
        <v>138964025.41999999</v>
      </c>
    </row>
    <row r="27" spans="1:6" x14ac:dyDescent="0.2">
      <c r="B27" s="81" t="s">
        <v>337</v>
      </c>
      <c r="C27" s="130">
        <v>1880750</v>
      </c>
      <c r="D27" s="130">
        <v>1389661</v>
      </c>
    </row>
    <row r="28" spans="1:6" x14ac:dyDescent="0.2">
      <c r="B28" s="81" t="s">
        <v>338</v>
      </c>
      <c r="C28" s="130">
        <v>1201303.24</v>
      </c>
      <c r="D28" s="131">
        <v>0</v>
      </c>
    </row>
    <row r="29" spans="1:6" x14ac:dyDescent="0.2">
      <c r="B29" s="81" t="s">
        <v>339</v>
      </c>
      <c r="C29" s="134">
        <v>-7294346.4500000002</v>
      </c>
      <c r="D29" s="134">
        <v>-6721762</v>
      </c>
    </row>
    <row r="30" spans="1:6" ht="13.8" x14ac:dyDescent="0.25">
      <c r="A30" s="137" t="s">
        <v>340</v>
      </c>
      <c r="C30" s="138">
        <f>SUM(C26:C29)+C34</f>
        <v>184102954.74000001</v>
      </c>
      <c r="D30" s="138">
        <f>SUM(D26:D29)</f>
        <v>133631924.41999999</v>
      </c>
      <c r="F30" s="91"/>
    </row>
    <row r="31" spans="1:6" x14ac:dyDescent="0.2">
      <c r="C31" s="91"/>
      <c r="D31" s="91"/>
    </row>
    <row r="32" spans="1:6" ht="13.2" x14ac:dyDescent="0.25">
      <c r="A32" s="127" t="s">
        <v>341</v>
      </c>
      <c r="B32" s="124"/>
      <c r="C32" s="91"/>
      <c r="D32" s="91"/>
    </row>
    <row r="33" spans="1:4" x14ac:dyDescent="0.2">
      <c r="B33" s="81" t="s">
        <v>342</v>
      </c>
      <c r="C33" s="139">
        <v>242311.53</v>
      </c>
      <c r="D33" s="140">
        <v>0</v>
      </c>
    </row>
    <row r="34" spans="1:4" ht="13.2" x14ac:dyDescent="0.25">
      <c r="A34" s="132" t="s">
        <v>343</v>
      </c>
      <c r="C34" s="136">
        <f>SUM(C33:C33)</f>
        <v>242311.53</v>
      </c>
      <c r="D34" s="141">
        <f>SUM(D33:D33)</f>
        <v>0</v>
      </c>
    </row>
    <row r="35" spans="1:4" x14ac:dyDescent="0.2">
      <c r="C35" s="91"/>
      <c r="D35" s="91"/>
    </row>
    <row r="36" spans="1:4" ht="13.8" x14ac:dyDescent="0.25">
      <c r="A36" s="137" t="s">
        <v>344</v>
      </c>
      <c r="C36" s="138">
        <f>C23-C34</f>
        <v>183860643.21000001</v>
      </c>
      <c r="D36" s="138">
        <f>D23-D34</f>
        <v>133631924.31</v>
      </c>
    </row>
    <row r="38" spans="1:4" x14ac:dyDescent="0.2">
      <c r="A38" s="142" t="s">
        <v>345</v>
      </c>
    </row>
  </sheetData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45b716-dbbf-4eeb-93ba-8cf34a0ba9d6" xsi:nil="true"/>
    <lcf76f155ced4ddcb4097134ff3c332f xmlns="c18dbfbf-249c-4ee0-9565-8e61e153ce8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B309425403A6458BFCEC509EB7BC54" ma:contentTypeVersion="16" ma:contentTypeDescription="Create a new document." ma:contentTypeScope="" ma:versionID="1f4bb991a7404b48da9c8c3b904bb3ee">
  <xsd:schema xmlns:xsd="http://www.w3.org/2001/XMLSchema" xmlns:xs="http://www.w3.org/2001/XMLSchema" xmlns:p="http://schemas.microsoft.com/office/2006/metadata/properties" xmlns:ns2="c18dbfbf-249c-4ee0-9565-8e61e153ce87" xmlns:ns3="2f45b716-dbbf-4eeb-93ba-8cf34a0ba9d6" targetNamespace="http://schemas.microsoft.com/office/2006/metadata/properties" ma:root="true" ma:fieldsID="b61565140b4f6e65289a02eb0f19df99" ns2:_="" ns3:_="">
    <xsd:import namespace="c18dbfbf-249c-4ee0-9565-8e61e153ce87"/>
    <xsd:import namespace="2f45b716-dbbf-4eeb-93ba-8cf34a0ba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8dbfbf-249c-4ee0-9565-8e61e153c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1c1c3ca-42bc-478c-94f6-17025997c1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5b716-dbbf-4eeb-93ba-8cf34a0ba9d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16730eb-dbab-481a-aecc-2279effa1869}" ma:internalName="TaxCatchAll" ma:showField="CatchAllData" ma:web="2f45b716-dbbf-4eeb-93ba-8cf34a0ba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37CD5A-F832-464E-A9CA-6C75D915F0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820BF9-F79E-47E9-ABEA-C397D0C9E6E4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c18dbfbf-249c-4ee0-9565-8e61e153ce87"/>
    <ds:schemaRef ds:uri="http://schemas.microsoft.com/office/infopath/2007/PartnerControls"/>
    <ds:schemaRef ds:uri="2f45b716-dbbf-4eeb-93ba-8cf34a0ba9d6"/>
  </ds:schemaRefs>
</ds:datastoreItem>
</file>

<file path=customXml/itemProps3.xml><?xml version="1.0" encoding="utf-8"?>
<ds:datastoreItem xmlns:ds="http://schemas.openxmlformats.org/officeDocument/2006/customXml" ds:itemID="{01399F26-1612-4A78-A8B5-201010F895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8dbfbf-249c-4ee0-9565-8e61e153ce87"/>
    <ds:schemaRef ds:uri="2f45b716-dbbf-4eeb-93ba-8cf34a0ba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Dashboard &amp; Jun-26</vt:lpstr>
      <vt:lpstr>2. Project Performance</vt:lpstr>
      <vt:lpstr>3. Delivery Outputs</vt:lpstr>
      <vt:lpstr>4. Monthly Cash Flows</vt:lpstr>
      <vt:lpstr>Ledger</vt:lpstr>
      <vt:lpstr>Notes &amp; Reconciliations</vt:lpstr>
      <vt:lpstr>5. Cash IRR &amp; Residual</vt:lpstr>
      <vt:lpstr>Statement_of_Cash_F_-_July_2026</vt:lpstr>
      <vt:lpstr>Profit_and_Loss_Jul_2026</vt:lpstr>
      <vt:lpstr>Balance_Sheet_July_2026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</cp:lastModifiedBy>
  <cp:revision>0</cp:revision>
  <dcterms:created xsi:type="dcterms:W3CDTF">2026-09-10T07:32:00Z</dcterms:created>
  <dcterms:modified xsi:type="dcterms:W3CDTF">2026-09-11T14:41:13Z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0x01010089B309425403A6458BFCEC509EB7BC54</vt:lpwstr>
  </property>
  <property fmtid="{D5CDD505-2E9C-101B-9397-08002B2CF9AE}" pid="3" name="MediaServiceImageTags">
    <vt:lpwstr/>
  </property>
</Properties>
</file>