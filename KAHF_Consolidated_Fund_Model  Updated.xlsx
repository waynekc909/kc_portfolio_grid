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-my.sharepoint.com/personal/wayne_konigsteincapital_com/Documents/Project Images/"/>
    </mc:Choice>
  </mc:AlternateContent>
  <xr:revisionPtr revIDLastSave="1509" documentId="8_{9150A69C-E6E4-4446-B489-F85005C0890C}" xr6:coauthVersionLast="47" xr6:coauthVersionMax="47" xr10:uidLastSave="{0166877A-866B-4CAC-9061-AB464A164F71}"/>
  <bookViews>
    <workbookView xWindow="-28920" yWindow="-4200" windowWidth="29040" windowHeight="15720" tabRatio="500" activeTab="1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4" i="7" l="1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K5" i="2"/>
  <c r="L5" i="2" s="1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<sst xmlns="http://schemas.openxmlformats.org/spreadsheetml/2006/main" count="754" uniqueCount="466">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</sst>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5" formatCode="0.000%"/>
    <numFmt numFmtId="176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164" fontId="38" fillId="7" borderId="0" xfId="0" applyNumberFormat="1" applyFont="1" applyFill="1"/>
    <xf numFmtId="9" fontId="1" fillId="0" borderId="0" xfId="2"/>
    <xf numFmtId="175" fontId="1" fillId="0" borderId="0" xfId="2" applyNumberFormat="1"/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6" fontId="41" fillId="0" borderId="0" xfId="0" applyNumberFormat="1" applyFont="1"/>
    <xf numFmtId="3" fontId="41" fillId="0" borderId="0" xfId="0" applyNumberFormat="1" applyFont="1"/>
    <xf numFmtId="0" fontId="31" fillId="0" borderId="0" xfId="0" applyFont="1"/>
    <xf numFmtId="0" fontId="39" fillId="12" borderId="0" xfId="0" applyFont="1" applyFill="1" applyAlignment="1">
      <alignment horizontal="center"/>
    </xf>
    <xf numFmtId="0" fontId="0" fillId="6" borderId="0" xfId="0" applyFill="1"/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63700000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16"/>
    <tableColumn id="2" xr3:uid="{A235E874-F2C8-4F6D-B44C-A2C2D5DC77F3}" name="Project" dataDxfId="15" totalsRowDxfId="14"/>
    <tableColumn id="3" xr3:uid="{BD5A1FAA-F155-4713-8E06-0C317B10A3D0}" name="Amount (N$)" dataDxfId="13" totalsRowDxfId="12"/>
    <tableColumn id="4" xr3:uid="{8BA57056-D260-4F3C-8D82-76DBDF26EFF1}" name="Drawdown (N$)" totalsRowFunction="sum" dataDxfId="11" totalsRowDxfId="10" dataCellStyle="Comma">
      <calculatedColumnFormula>IF(C5&lt;0,C5,0)</calculatedColumnFormula>
    </tableColumn>
    <tableColumn id="5" xr3:uid="{E86CBD51-5855-4402-8499-73E7044F5C14}" name="Distribution (N$)" totalsRowFunction="sum" dataDxfId="9" totalsRowDxfId="8">
      <calculatedColumnFormula>IF(C5&gt;0,C5,0)</calculatedColumnFormula>
    </tableColumn>
    <tableColumn id="6" xr3:uid="{78EFF85F-09AE-43AA-B662-93DD05540FD6}" name="Month key" dataDxfId="7" totalsRowDxfId="6">
      <calculatedColumnFormula>DATE(YEAR(A5),MONTH(A5),1)</calculatedColumnFormula>
    </tableColumn>
    <tableColumn id="7" xr3:uid="{A9E613AA-2076-45AD-A76E-C933EA14771C}" name="Source workbook / tab" dataDxfId="5" totalsRowDxfId="4"/>
    <tableColumn id="8" xr3:uid="{B74CB5D9-AC93-43D8-BA31-8C4A80990DD3}" name="Management Account (N$)" totalsRowFunction="sum" dataDxfId="3" totalsRowDxfId="2">
      <calculatedColumnFormula>IFERROR(_xlfn.XLOOKUP($A5,$M$5:$M$94,$O$5:$O$94),0)</calculatedColumnFormula>
    </tableColumn>
    <tableColumn id="9" xr3:uid="{732F6E87-E85F-47AD-A11A-46CD028811CC}" name="Permitted Expenses (N$)" totalsRowFunction="sum" dataDxfId="1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0.94654050342143481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tabSelected="1" zoomScale="103" zoomScaleNormal="7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6" sqref="F6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63700000</v>
      </c>
      <c r="G5" s="142">
        <f>MAX(F5+C5,0)</f>
        <v>0</v>
      </c>
      <c r="H5" s="15"/>
      <c r="I5" s="15"/>
      <c r="J5" s="6">
        <v>40105521</v>
      </c>
      <c r="K5" s="8">
        <f t="shared" ref="K5:K18" si="1">D5+J5</f>
        <v>77138912.079999998</v>
      </c>
      <c r="L5" s="10">
        <f t="shared" ref="L5:L19" si="2">IFERROR(K5/-C5,"n/a")</f>
        <v>0.80679453239954835</v>
      </c>
      <c r="M5" s="16">
        <v>5.3999999999999999E-2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3">MAX(F6+C6,0)</f>
        <v>13449000</v>
      </c>
      <c r="H6" s="15"/>
      <c r="I6" s="15"/>
      <c r="J6" s="6">
        <v>12958884</v>
      </c>
      <c r="K6" s="8">
        <f t="shared" si="1"/>
        <v>36958884</v>
      </c>
      <c r="L6" s="10">
        <f t="shared" si="2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3"/>
        <v>0</v>
      </c>
      <c r="H7" s="15"/>
      <c r="I7" s="15"/>
      <c r="J7" s="6">
        <v>35672548</v>
      </c>
      <c r="K7" s="8">
        <f t="shared" si="1"/>
        <v>35672548</v>
      </c>
      <c r="L7" s="10">
        <f t="shared" si="2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3"/>
        <v>0</v>
      </c>
      <c r="H8" s="15"/>
      <c r="I8" s="15"/>
      <c r="J8" s="6">
        <v>4911828</v>
      </c>
      <c r="K8" s="8">
        <f t="shared" si="1"/>
        <v>4911828</v>
      </c>
      <c r="L8" s="10">
        <f t="shared" si="2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3"/>
        <v>0</v>
      </c>
      <c r="H9" s="15"/>
      <c r="I9" s="15"/>
      <c r="J9" s="6">
        <v>1037365.93</v>
      </c>
      <c r="K9" s="8">
        <f t="shared" si="1"/>
        <v>1037365.93</v>
      </c>
      <c r="L9" s="10">
        <f t="shared" si="2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3"/>
        <v>13000000</v>
      </c>
      <c r="H10" s="6">
        <v>31277883.809999999</v>
      </c>
      <c r="I10" s="6">
        <v>42400000</v>
      </c>
      <c r="J10" s="6">
        <v>12958884</v>
      </c>
      <c r="K10" s="8">
        <f t="shared" si="1"/>
        <v>12958884</v>
      </c>
      <c r="L10" s="10">
        <f t="shared" si="2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3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1"/>
        <v>13022185.550000001</v>
      </c>
      <c r="L11" s="10">
        <f t="shared" si="2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3"/>
        <v>13712884.35</v>
      </c>
      <c r="H12" s="15"/>
      <c r="I12" s="15"/>
      <c r="J12" s="6">
        <v>4827160</v>
      </c>
      <c r="K12" s="8">
        <f t="shared" si="1"/>
        <v>4827160</v>
      </c>
      <c r="L12" s="10">
        <f t="shared" si="2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3"/>
        <v>610888.86000000034</v>
      </c>
      <c r="H13" s="6">
        <v>26748597</v>
      </c>
      <c r="I13" s="6">
        <v>31785000</v>
      </c>
      <c r="J13" s="6">
        <v>4822787.04</v>
      </c>
      <c r="K13" s="8">
        <f t="shared" si="1"/>
        <v>4822787.04</v>
      </c>
      <c r="L13" s="10">
        <f t="shared" si="2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3"/>
        <v>6533279.54</v>
      </c>
      <c r="H14" s="6"/>
      <c r="I14" s="6"/>
      <c r="J14" s="6">
        <v>5249926.24</v>
      </c>
      <c r="K14" s="8">
        <f t="shared" si="1"/>
        <v>5249926.24</v>
      </c>
      <c r="L14" s="10">
        <f t="shared" si="2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3"/>
        <v>0</v>
      </c>
      <c r="H15" s="15"/>
      <c r="I15" s="15"/>
      <c r="J15" s="6">
        <v>1197995</v>
      </c>
      <c r="K15" s="8">
        <f t="shared" si="1"/>
        <v>43705262.899999999</v>
      </c>
      <c r="L15" s="10">
        <f t="shared" si="2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3"/>
        <v>0</v>
      </c>
      <c r="H16" s="15"/>
      <c r="I16" s="15"/>
      <c r="J16" s="6">
        <v>1197968.19</v>
      </c>
      <c r="K16" s="8">
        <f t="shared" si="1"/>
        <v>22504043.690000001</v>
      </c>
      <c r="L16" s="10">
        <f t="shared" si="2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3"/>
        <v>0</v>
      </c>
      <c r="H17" s="15"/>
      <c r="I17" s="15"/>
      <c r="J17" s="6">
        <v>0</v>
      </c>
      <c r="K17" s="8">
        <f t="shared" si="1"/>
        <v>7353424.4900000002</v>
      </c>
      <c r="L17" s="10">
        <f t="shared" si="2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3"/>
        <v>0</v>
      </c>
      <c r="H18" s="15"/>
      <c r="I18" s="15"/>
      <c r="J18" s="6">
        <v>0</v>
      </c>
      <c r="K18" s="8">
        <f t="shared" si="1"/>
        <v>75599843.120000005</v>
      </c>
      <c r="L18" s="10">
        <f t="shared" si="2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381500000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345763055.04000002</v>
      </c>
      <c r="L19" s="22">
        <f t="shared" si="2"/>
        <v>0.94654050342143481</v>
      </c>
      <c r="M19" s="72">
        <f>(M5+M18+M17+M16+M15+M14+M13+M11+M10+M9-M8+M6+M7+M20)/13</f>
        <v>0.18673846153846155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173699997.91000003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71" t="s">
        <v>321</v>
      </c>
      <c r="P30" s="171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zoomScale="99" zoomScaleNormal="100" workbookViewId="0">
      <pane ySplit="4" topLeftCell="A58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72" t="s">
        <v>456</v>
      </c>
      <c r="N3" s="172"/>
      <c r="O3" s="172"/>
      <c r="P3" s="172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7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70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24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381500000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opLeftCell="A9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5" t="s">
        <v>464</v>
      </c>
    </row>
    <row r="2" spans="1:13" x14ac:dyDescent="0.3">
      <c r="A2" s="45" t="s">
        <v>196</v>
      </c>
      <c r="J2" s="167" t="s">
        <v>458</v>
      </c>
      <c r="K2" s="167" t="s">
        <v>459</v>
      </c>
      <c r="L2" s="167" t="s">
        <v>460</v>
      </c>
      <c r="M2" s="167" t="s">
        <v>465</v>
      </c>
    </row>
    <row r="3" spans="1:13" x14ac:dyDescent="0.3">
      <c r="J3" s="168">
        <v>-0.5</v>
      </c>
      <c r="K3" s="168">
        <v>0.5</v>
      </c>
      <c r="L3" s="169">
        <f>(J3+K3)/2</f>
        <v>0</v>
      </c>
      <c r="M3" s="170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73"/>
      <c r="D4" s="173"/>
      <c r="E4" s="173"/>
      <c r="J4" s="166">
        <f>IF(M3&gt;0,L3,J3)</f>
        <v>0</v>
      </c>
      <c r="K4" s="166">
        <f>IF(M3&gt;0,K3,L3)</f>
        <v>0.5</v>
      </c>
      <c r="L4" s="169">
        <f>(J4+K4)/2</f>
        <v>0.25</v>
      </c>
      <c r="M4" s="170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6">
        <f t="shared" ref="J5:J42" si="0">IF(M4&gt;0,L4,J4)</f>
        <v>0</v>
      </c>
      <c r="K5" s="166">
        <f t="shared" ref="K5:K42" si="1">IF(M4&gt;0,K4,L4)</f>
        <v>0.25</v>
      </c>
      <c r="L5" s="169">
        <f t="shared" ref="L5:L42" si="2">(J5+K5)/2</f>
        <v>0.125</v>
      </c>
      <c r="M5" s="170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4">
        <f>-IF(COUNTIF($A$6:A6,A6)=1,SUMIFS(Ledger!$O$5:$O$94,Ledger!$M$5:$M$94,A6)+SUMIFS(Ledger!$P$5:$P$94,Ledger!$M$5:$M$94,A6),0)</f>
        <v>-1533615</v>
      </c>
      <c r="H6" s="59">
        <f>C6+G6</f>
        <v>-1533615</v>
      </c>
      <c r="J6" s="166">
        <f t="shared" si="0"/>
        <v>0</v>
      </c>
      <c r="K6" s="166">
        <f t="shared" si="1"/>
        <v>0.125</v>
      </c>
      <c r="L6" s="169">
        <f t="shared" si="2"/>
        <v>6.25E-2</v>
      </c>
      <c r="M6" s="170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4">
        <f>-IF(COUNTIF($A$6:A7,A7)=1,SUMIFS(Ledger!$O$5:$O$94,Ledger!$M$5:$M$94,A7)+SUMIFS(Ledger!$P$5:$P$94,Ledger!$M$5:$M$94,A7),0)</f>
        <v>0</v>
      </c>
      <c r="H7" s="59">
        <f>C7+G7-D7</f>
        <v>0</v>
      </c>
      <c r="J7" s="166">
        <f t="shared" si="0"/>
        <v>6.25E-2</v>
      </c>
      <c r="K7" s="166">
        <f t="shared" si="1"/>
        <v>0.125</v>
      </c>
      <c r="L7" s="169">
        <f t="shared" si="2"/>
        <v>9.375E-2</v>
      </c>
      <c r="M7" s="170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4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6">
        <f t="shared" si="0"/>
        <v>6.25E-2</v>
      </c>
      <c r="K8" s="166">
        <f t="shared" si="1"/>
        <v>9.375E-2</v>
      </c>
      <c r="L8" s="169">
        <f t="shared" si="2"/>
        <v>7.8125E-2</v>
      </c>
      <c r="M8" s="170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4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6">
        <f t="shared" si="0"/>
        <v>6.25E-2</v>
      </c>
      <c r="K9" s="166">
        <f t="shared" si="1"/>
        <v>7.8125E-2</v>
      </c>
      <c r="L9" s="169">
        <f t="shared" si="2"/>
        <v>7.03125E-2</v>
      </c>
      <c r="M9" s="170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4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6">
        <f t="shared" si="0"/>
        <v>7.03125E-2</v>
      </c>
      <c r="K10" s="166">
        <f t="shared" si="1"/>
        <v>7.8125E-2</v>
      </c>
      <c r="L10" s="169">
        <f t="shared" si="2"/>
        <v>7.421875E-2</v>
      </c>
      <c r="M10" s="170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4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6">
        <f t="shared" si="0"/>
        <v>7.03125E-2</v>
      </c>
      <c r="K11" s="166">
        <f t="shared" si="1"/>
        <v>7.421875E-2</v>
      </c>
      <c r="L11" s="169">
        <f t="shared" si="2"/>
        <v>7.2265625E-2</v>
      </c>
      <c r="M11" s="170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4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6">
        <f t="shared" si="0"/>
        <v>7.2265625E-2</v>
      </c>
      <c r="K12" s="166">
        <f t="shared" si="1"/>
        <v>7.421875E-2</v>
      </c>
      <c r="L12" s="169">
        <f t="shared" si="2"/>
        <v>7.32421875E-2</v>
      </c>
      <c r="M12" s="170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4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6">
        <f t="shared" si="0"/>
        <v>7.32421875E-2</v>
      </c>
      <c r="K13" s="166">
        <f t="shared" si="1"/>
        <v>7.421875E-2</v>
      </c>
      <c r="L13" s="169">
        <f t="shared" si="2"/>
        <v>7.373046875E-2</v>
      </c>
      <c r="M13" s="170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4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6">
        <f t="shared" si="0"/>
        <v>7.32421875E-2</v>
      </c>
      <c r="K14" s="166">
        <f t="shared" si="1"/>
        <v>7.373046875E-2</v>
      </c>
      <c r="L14" s="169">
        <f t="shared" si="2"/>
        <v>7.3486328125E-2</v>
      </c>
      <c r="M14" s="170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4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6">
        <f t="shared" si="0"/>
        <v>7.3486328125E-2</v>
      </c>
      <c r="K15" s="166">
        <f t="shared" si="1"/>
        <v>7.373046875E-2</v>
      </c>
      <c r="L15" s="169">
        <f t="shared" si="2"/>
        <v>7.36083984375E-2</v>
      </c>
      <c r="M15" s="170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4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6">
        <f t="shared" si="0"/>
        <v>7.36083984375E-2</v>
      </c>
      <c r="K16" s="166">
        <f t="shared" si="1"/>
        <v>7.373046875E-2</v>
      </c>
      <c r="L16" s="169">
        <f t="shared" si="2"/>
        <v>7.366943359375E-2</v>
      </c>
      <c r="M16" s="170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4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6">
        <f t="shared" si="0"/>
        <v>7.366943359375E-2</v>
      </c>
      <c r="K17" s="166">
        <f t="shared" si="1"/>
        <v>7.373046875E-2</v>
      </c>
      <c r="L17" s="169">
        <f t="shared" si="2"/>
        <v>7.3699951171875E-2</v>
      </c>
      <c r="M17" s="170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4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6">
        <f t="shared" si="0"/>
        <v>7.3699951171875E-2</v>
      </c>
      <c r="K18" s="166">
        <f t="shared" si="1"/>
        <v>7.373046875E-2</v>
      </c>
      <c r="L18" s="169">
        <f t="shared" si="2"/>
        <v>7.37152099609375E-2</v>
      </c>
      <c r="M18" s="170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4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6">
        <f t="shared" si="0"/>
        <v>7.37152099609375E-2</v>
      </c>
      <c r="K19" s="166">
        <f t="shared" si="1"/>
        <v>7.373046875E-2</v>
      </c>
      <c r="L19" s="169">
        <f t="shared" si="2"/>
        <v>7.372283935546875E-2</v>
      </c>
      <c r="M19" s="170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4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6">
        <f t="shared" si="0"/>
        <v>7.372283935546875E-2</v>
      </c>
      <c r="K20" s="166">
        <f t="shared" si="1"/>
        <v>7.373046875E-2</v>
      </c>
      <c r="L20" s="169">
        <f t="shared" si="2"/>
        <v>7.3726654052734375E-2</v>
      </c>
      <c r="M20" s="170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4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6">
        <f t="shared" si="0"/>
        <v>7.3726654052734375E-2</v>
      </c>
      <c r="K21" s="166">
        <f t="shared" si="1"/>
        <v>7.373046875E-2</v>
      </c>
      <c r="L21" s="169">
        <f t="shared" si="2"/>
        <v>7.3728561401367188E-2</v>
      </c>
      <c r="M21" s="170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4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6">
        <f t="shared" si="0"/>
        <v>7.3728561401367188E-2</v>
      </c>
      <c r="K22" s="166">
        <f t="shared" si="1"/>
        <v>7.373046875E-2</v>
      </c>
      <c r="L22" s="169">
        <f t="shared" si="2"/>
        <v>7.3729515075683594E-2</v>
      </c>
      <c r="M22" s="170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4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6">
        <f t="shared" si="0"/>
        <v>7.3729515075683594E-2</v>
      </c>
      <c r="K23" s="166">
        <f t="shared" si="1"/>
        <v>7.373046875E-2</v>
      </c>
      <c r="L23" s="169">
        <f t="shared" si="2"/>
        <v>7.3729991912841797E-2</v>
      </c>
      <c r="M23" s="170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4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6">
        <f t="shared" si="0"/>
        <v>7.3729515075683594E-2</v>
      </c>
      <c r="K24" s="166">
        <f t="shared" si="1"/>
        <v>7.3729991912841797E-2</v>
      </c>
      <c r="L24" s="169">
        <f t="shared" si="2"/>
        <v>7.3729753494262695E-2</v>
      </c>
      <c r="M24" s="170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4">
        <f>-IF(COUNTIF($A$6:A25,A25)=1,SUMIFS(Ledger!$O$5:$O$94,Ledger!$M$5:$M$94,A25)+SUMIFS(Ledger!$P$5:$P$94,Ledger!$M$5:$M$94,A25),0)</f>
        <v>0</v>
      </c>
      <c r="H25" s="59">
        <f t="shared" si="5"/>
        <v>0</v>
      </c>
      <c r="J25" s="166">
        <f t="shared" si="0"/>
        <v>7.3729515075683594E-2</v>
      </c>
      <c r="K25" s="166">
        <f t="shared" si="1"/>
        <v>7.3729753494262695E-2</v>
      </c>
      <c r="L25" s="169">
        <f t="shared" si="2"/>
        <v>7.3729634284973145E-2</v>
      </c>
      <c r="M25" s="170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4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6">
        <f t="shared" si="0"/>
        <v>7.3729515075683594E-2</v>
      </c>
      <c r="K26" s="166">
        <f t="shared" si="1"/>
        <v>7.3729634284973145E-2</v>
      </c>
      <c r="L26" s="169">
        <f t="shared" si="2"/>
        <v>7.3729574680328369E-2</v>
      </c>
      <c r="M26" s="170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4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6">
        <f t="shared" si="0"/>
        <v>7.3729515075683594E-2</v>
      </c>
      <c r="K27" s="166">
        <f t="shared" si="1"/>
        <v>7.3729574680328369E-2</v>
      </c>
      <c r="L27" s="169">
        <f t="shared" si="2"/>
        <v>7.3729544878005981E-2</v>
      </c>
      <c r="M27" s="170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4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6">
        <f t="shared" si="0"/>
        <v>7.3729515075683594E-2</v>
      </c>
      <c r="K28" s="166">
        <f t="shared" si="1"/>
        <v>7.3729544878005981E-2</v>
      </c>
      <c r="L28" s="169">
        <f t="shared" si="2"/>
        <v>7.3729529976844788E-2</v>
      </c>
      <c r="M28" s="170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4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6">
        <f t="shared" si="0"/>
        <v>7.3729529976844788E-2</v>
      </c>
      <c r="K29" s="166">
        <f t="shared" si="1"/>
        <v>7.3729544878005981E-2</v>
      </c>
      <c r="L29" s="169">
        <f t="shared" si="2"/>
        <v>7.3729537427425385E-2</v>
      </c>
      <c r="M29" s="170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4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6">
        <f t="shared" si="0"/>
        <v>7.3729537427425385E-2</v>
      </c>
      <c r="K30" s="166">
        <f t="shared" si="1"/>
        <v>7.3729544878005981E-2</v>
      </c>
      <c r="L30" s="169">
        <f t="shared" si="2"/>
        <v>7.3729541152715683E-2</v>
      </c>
      <c r="M30" s="170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4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6">
        <f t="shared" si="0"/>
        <v>7.3729541152715683E-2</v>
      </c>
      <c r="K31" s="166">
        <f t="shared" si="1"/>
        <v>7.3729544878005981E-2</v>
      </c>
      <c r="L31" s="169">
        <f t="shared" si="2"/>
        <v>7.3729543015360832E-2</v>
      </c>
      <c r="M31" s="170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4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6">
        <f t="shared" si="0"/>
        <v>7.3729541152715683E-2</v>
      </c>
      <c r="K32" s="166">
        <f t="shared" si="1"/>
        <v>7.3729543015360832E-2</v>
      </c>
      <c r="L32" s="169">
        <f t="shared" si="2"/>
        <v>7.3729542084038258E-2</v>
      </c>
      <c r="M32" s="170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4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6">
        <f t="shared" si="0"/>
        <v>7.3729542084038258E-2</v>
      </c>
      <c r="K33" s="166">
        <f t="shared" si="1"/>
        <v>7.3729543015360832E-2</v>
      </c>
      <c r="L33" s="169">
        <f t="shared" si="2"/>
        <v>7.3729542549699545E-2</v>
      </c>
      <c r="M33" s="170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4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6">
        <f t="shared" si="0"/>
        <v>7.3729542084038258E-2</v>
      </c>
      <c r="K34" s="166">
        <f t="shared" si="1"/>
        <v>7.3729542549699545E-2</v>
      </c>
      <c r="L34" s="169">
        <f t="shared" si="2"/>
        <v>7.3729542316868901E-2</v>
      </c>
      <c r="M34" s="170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4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6">
        <f t="shared" si="0"/>
        <v>7.3729542316868901E-2</v>
      </c>
      <c r="K35" s="166">
        <f t="shared" si="1"/>
        <v>7.3729542549699545E-2</v>
      </c>
      <c r="L35" s="169">
        <f t="shared" si="2"/>
        <v>7.3729542433284223E-2</v>
      </c>
      <c r="M35" s="170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4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6">
        <f t="shared" si="0"/>
        <v>7.3729542433284223E-2</v>
      </c>
      <c r="K36" s="166">
        <f t="shared" si="1"/>
        <v>7.3729542549699545E-2</v>
      </c>
      <c r="L36" s="169">
        <f t="shared" si="2"/>
        <v>7.3729542491491884E-2</v>
      </c>
      <c r="M36" s="170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4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6">
        <f t="shared" si="0"/>
        <v>7.3729542433284223E-2</v>
      </c>
      <c r="K37" s="166">
        <f t="shared" si="1"/>
        <v>7.3729542491491884E-2</v>
      </c>
      <c r="L37" s="169">
        <f t="shared" si="2"/>
        <v>7.3729542462388054E-2</v>
      </c>
      <c r="M37" s="170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4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6">
        <f t="shared" si="0"/>
        <v>7.3729542433284223E-2</v>
      </c>
      <c r="K38" s="166">
        <f t="shared" si="1"/>
        <v>7.3729542462388054E-2</v>
      </c>
      <c r="L38" s="169">
        <f t="shared" si="2"/>
        <v>7.3729542447836138E-2</v>
      </c>
      <c r="M38" s="170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4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6">
        <f t="shared" si="0"/>
        <v>7.3729542447836138E-2</v>
      </c>
      <c r="K39" s="166">
        <f t="shared" si="1"/>
        <v>7.3729542462388054E-2</v>
      </c>
      <c r="L39" s="169">
        <f t="shared" si="2"/>
        <v>7.3729542455112096E-2</v>
      </c>
      <c r="M39" s="170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4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6">
        <f t="shared" si="0"/>
        <v>7.3729542455112096E-2</v>
      </c>
      <c r="K40" s="166">
        <f t="shared" si="1"/>
        <v>7.3729542462388054E-2</v>
      </c>
      <c r="L40" s="169">
        <f t="shared" si="2"/>
        <v>7.3729542458750075E-2</v>
      </c>
      <c r="M40" s="170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4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6">
        <f t="shared" si="0"/>
        <v>7.3729542458750075E-2</v>
      </c>
      <c r="K41" s="166">
        <f t="shared" si="1"/>
        <v>7.3729542462388054E-2</v>
      </c>
      <c r="L41" s="169">
        <f t="shared" si="2"/>
        <v>7.3729542460569064E-2</v>
      </c>
      <c r="M41" s="170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4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6">
        <f t="shared" si="0"/>
        <v>7.3729542460569064E-2</v>
      </c>
      <c r="K42" s="166">
        <f t="shared" si="1"/>
        <v>7.3729542462388054E-2</v>
      </c>
      <c r="L42" s="169">
        <f t="shared" si="2"/>
        <v>7.3729542461478559E-2</v>
      </c>
      <c r="M42" s="170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4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4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4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4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4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4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4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4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4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4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4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4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4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4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4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4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4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4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4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4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4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4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4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4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4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4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4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4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4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4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4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4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4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4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4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4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4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4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4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4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4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4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4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4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4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4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4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4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4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4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4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4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4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4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4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4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4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4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4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4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4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4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4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4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4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4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4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4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4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4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4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4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4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4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4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4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4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4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4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4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4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4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4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4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4">
        <f>-IF(COUNTIF($A$6:A127,A127)=1,SUMIFS(Ledger!$O$5:$O$94,Ledger!$M$5:$M$94,A127)+SUMIFS(Ledger!$P$5:$P$94,Ledger!$M$5:$M$94,A127),0)</f>
        <v>0</v>
      </c>
      <c r="H127" s="59">
        <f t="shared" ref="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1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2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3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customXml/itemProps3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2026-09-18T09:51:06Z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